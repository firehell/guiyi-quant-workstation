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2.xml" ContentType="application/vnd.openxmlformats-officedocument.spreadsheetml.worksheet+xml"/>
  <Override PartName="/xl/tables/table6.xml" ContentType="application/vnd.openxmlformats-officedocument.spreadsheetml.table+xml"/>
  <Override PartName="/xl/worksheets/sheet3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a7db4e95cf4d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复盘汇总" sheetId="1" r:id="Rd9d32a2b85ca47ad"/>
    <x:sheet xmlns:r="http://schemas.openxmlformats.org/officeDocument/2006/relationships" name="逐条表现" sheetId="2" r:id="R6714e3a54d794a5b"/>
    <x:sheet xmlns:r="http://schemas.openxmlformats.org/officeDocument/2006/relationships" name="推送内容" sheetId="3" r:id="Rcd868cc7b9d545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yyyy-mm-dd"/>
    <x:numFmt numFmtId="201" formatCode="0.00%;[Red]-0.00%;0.00%"/>
    <x:numFmt numFmtId="202" formatCode="mm-dd hh:mm:ss"/>
    <x:numFmt numFmtId="203" formatCode="#,##0.00"/>
    <x:numFmt numFmtId="204" formatCode="0.0"/>
    <x:numFmt numFmtId="205" formatCode="0"/>
    <x:numFmt numFmtId="206" formatCode="0.0%"/>
  </x:numFmts>
  <x:fonts count="5">
    <x:font>
      <x:sz val="11"/>
      <x:name val="Carlito"/>
    </x:font>
    <x:font>
      <x:sz val="11"/>
      <x:color rgb="FF26354A"/>
      <x:name val="Arial"/>
    </x:font>
    <x:font>
      <x:b/>
      <x:sz val="16"/>
      <x:color rgb="FF253B58"/>
      <x:name val="Arial"/>
    </x:font>
    <x:font>
      <x:b/>
      <x:sz val="11"/>
      <x:color rgb="FFFFFFFF"/>
      <x:name val="Arial"/>
    </x:font>
    <x:font>
      <x:b/>
      <x:sz val="11"/>
      <x:color rgb="FF26354A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53B58"/>
      </x:patternFill>
    </x:fill>
  </x:fills>
  <x:borders count="1">
    <x:border/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8">
    <x:dxf>
      <x:font>
        <x:color rgb="FFB54737"/>
      </x:font>
    </x:dxf>
    <x:dxf>
      <x:font>
        <x:color rgb="FF176B50"/>
      </x:font>
    </x:dxf>
    <x:dxf>
      <x:font>
        <x:color rgb="FFB54737"/>
      </x:font>
    </x:dxf>
    <x:dxf>
      <x:font>
        <x:color rgb="FF176B50"/>
      </x:font>
    </x:dxf>
    <x:dxf>
      <x:font>
        <x:color rgb="FFB54737"/>
      </x:font>
    </x:dxf>
    <x:dxf>
      <x:font>
        <x:color rgb="FF176B50"/>
      </x:font>
    </x:dxf>
    <x:dxf>
      <x:font>
        <x:color rgb="FFB54737"/>
      </x:font>
    </x:dxf>
    <x:dxf>
      <x:font>
        <x:color rgb="FF176B50"/>
      </x:font>
    </x:dxf>
    <x:dxf>
      <x:font>
        <x:color rgb="FFB54737"/>
      </x:font>
    </x:dxf>
    <x:dxf>
      <x:font>
        <x:color rgb="FF176B50"/>
      </x:font>
    </x:dxf>
    <x:dxf>
      <x:font>
        <x:color rgb="FFB54737"/>
      </x:font>
    </x:dxf>
    <x:dxf>
      <x:font>
        <x:color rgb="FF176B50"/>
      </x:font>
    </x:dxf>
    <x:dxf>
      <x:font>
        <x:color rgb="FFB54737"/>
      </x:font>
    </x:dxf>
    <x:dxf>
      <x:font>
        <x:color rgb="FF176B50"/>
      </x:font>
    </x:dxf>
    <x:dxf>
      <x:font>
        <x:color rgb="FFB54737"/>
      </x:font>
    </x:dxf>
    <x:dxf>
      <x:font>
        <x:color rgb="FF176B50"/>
      </x:font>
    </x:dxf>
    <x:dxf>
      <x:font>
        <x:color rgb="FFB54737"/>
      </x:font>
    </x:dxf>
    <x:dxf>
      <x:font>
        <x:color rgb="FF176B5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d980bc67634d02" /><Relationship Type="http://schemas.openxmlformats.org/officeDocument/2006/relationships/theme" Target="/xl/theme/theme1.xml" Id="R8aa56a306aa54dd4" /><Relationship Type="http://schemas.openxmlformats.org/officeDocument/2006/relationships/sharedStrings" Target="/xl/sharedStrings.xml" Id="R4993ffdaff184786" /><Relationship Type="http://schemas.openxmlformats.org/officeDocument/2006/relationships/worksheet" Target="/xl/worksheets/sheet1.xml" Id="Rd9d32a2b85ca47ad" /><Relationship Type="http://schemas.openxmlformats.org/officeDocument/2006/relationships/worksheet" Target="/xl/worksheets/sheet2.xml" Id="R6714e3a54d794a5b" /><Relationship Type="http://schemas.openxmlformats.org/officeDocument/2006/relationships/worksheet" Target="/xl/worksheets/sheet3.xml" Id="Rcd868cc7b9d54536" /></Relationships>
</file>

<file path=xl/tables/table1.xml><?xml version="1.0" encoding="utf-8"?>
<x:table xmlns:x="http://schemas.openxmlformats.org/spreadsheetml/2006/main" id="3" name="Summary1" displayName="Summary1" ref="A10:W13" headerRowCount="1" totalsRowCount="0" totalsRowShown="0">
  <x:autoFilter ref="A10:W13"/>
  <x:tableColumns count="23">
    <x:tableColumn id="1" name="策略/品种"/>
    <x:tableColumn id="2" name="信号周期"/>
    <x:tableColumn id="3" name="总条数"/>
    <x:tableColumn id="4" name="15m有利"/>
    <x:tableColumn id="5" name="15m样本"/>
    <x:tableColumn id="6" name="15m比例"/>
    <x:tableColumn id="7" name="30m有利"/>
    <x:tableColumn id="8" name="30m样本"/>
    <x:tableColumn id="9" name="30m比例"/>
    <x:tableColumn id="10" name="60m有利"/>
    <x:tableColumn id="11" name="60m样本"/>
    <x:tableColumn id="12" name="60m比例"/>
    <x:tableColumn id="13" name="60m均变"/>
    <x:tableColumn id="14" name="60m缺数据"/>
    <x:tableColumn id="15" name="15m不利"/>
    <x:tableColumn id="16" name="15m持平"/>
    <x:tableColumn id="17" name="30m不利"/>
    <x:tableColumn id="18" name="30m持平"/>
    <x:tableColumn id="19" name="60m不利"/>
    <x:tableColumn id="20" name="60m持平"/>
    <x:tableColumn id="21" name="15m均变"/>
    <x:tableColumn id="22" name="30m均变"/>
    <x:tableColumn id="23" name="60m待观察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4" name="Summary2" displayName="Summary2" ref="A17:W72" headerRowCount="1" totalsRowCount="0" totalsRowShown="0">
  <x:autoFilter ref="A17:W72"/>
  <x:tableColumns count="23">
    <x:tableColumn id="1" name="策略/品种"/>
    <x:tableColumn id="2" name="信号周期"/>
    <x:tableColumn id="3" name="总条数"/>
    <x:tableColumn id="4" name="15m有利"/>
    <x:tableColumn id="5" name="15m样本"/>
    <x:tableColumn id="6" name="15m比例"/>
    <x:tableColumn id="7" name="30m有利"/>
    <x:tableColumn id="8" name="30m样本"/>
    <x:tableColumn id="9" name="30m比例"/>
    <x:tableColumn id="10" name="60m有利"/>
    <x:tableColumn id="11" name="60m样本"/>
    <x:tableColumn id="12" name="60m比例"/>
    <x:tableColumn id="13" name="60m均变"/>
    <x:tableColumn id="14" name="60m缺数据"/>
    <x:tableColumn id="15" name="15m不利"/>
    <x:tableColumn id="16" name="15m持平"/>
    <x:tableColumn id="17" name="30m不利"/>
    <x:tableColumn id="18" name="30m持平"/>
    <x:tableColumn id="19" name="60m不利"/>
    <x:tableColumn id="20" name="60m持平"/>
    <x:tableColumn id="21" name="15m均变"/>
    <x:tableColumn id="22" name="30m均变"/>
    <x:tableColumn id="23" name="60m待观察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5" name="Summary3" displayName="Summary3" ref="A76:W87" headerRowCount="1" totalsRowCount="0" totalsRowShown="0">
  <x:autoFilter ref="A76:W87"/>
  <x:tableColumns count="23">
    <x:tableColumn id="1" name="策略/品种"/>
    <x:tableColumn id="2" name="信号周期"/>
    <x:tableColumn id="3" name="总条数"/>
    <x:tableColumn id="4" name="15m有利"/>
    <x:tableColumn id="5" name="15m样本"/>
    <x:tableColumn id="6" name="15m比例"/>
    <x:tableColumn id="7" name="30m有利"/>
    <x:tableColumn id="8" name="30m样本"/>
    <x:tableColumn id="9" name="30m比例"/>
    <x:tableColumn id="10" name="60m有利"/>
    <x:tableColumn id="11" name="60m样本"/>
    <x:tableColumn id="12" name="60m比例"/>
    <x:tableColumn id="13" name="60m均变"/>
    <x:tableColumn id="14" name="60m缺数据"/>
    <x:tableColumn id="15" name="15m不利"/>
    <x:tableColumn id="16" name="15m持平"/>
    <x:tableColumn id="17" name="30m不利"/>
    <x:tableColumn id="18" name="30m持平"/>
    <x:tableColumn id="19" name="60m不利"/>
    <x:tableColumn id="20" name="60m持平"/>
    <x:tableColumn id="21" name="15m均变"/>
    <x:tableColumn id="22" name="30m均变"/>
    <x:tableColumn id="23" name="60m待观察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6" name="Summary4" displayName="Summary4" ref="A91:W97" headerRowCount="1" totalsRowCount="0" totalsRowShown="0">
  <x:autoFilter ref="A91:W97"/>
  <x:tableColumns count="23">
    <x:tableColumn id="1" name="策略/品种"/>
    <x:tableColumn id="2" name="信号周期"/>
    <x:tableColumn id="3" name="总条数"/>
    <x:tableColumn id="4" name="15m有利"/>
    <x:tableColumn id="5" name="15m样本"/>
    <x:tableColumn id="6" name="15m比例"/>
    <x:tableColumn id="7" name="30m有利"/>
    <x:tableColumn id="8" name="30m样本"/>
    <x:tableColumn id="9" name="30m比例"/>
    <x:tableColumn id="10" name="60m有利"/>
    <x:tableColumn id="11" name="60m样本"/>
    <x:tableColumn id="12" name="60m比例"/>
    <x:tableColumn id="13" name="60m均变"/>
    <x:tableColumn id="14" name="60m缺数据"/>
    <x:tableColumn id="15" name="15m不利"/>
    <x:tableColumn id="16" name="15m持平"/>
    <x:tableColumn id="17" name="30m不利"/>
    <x:tableColumn id="18" name="30m持平"/>
    <x:tableColumn id="19" name="60m不利"/>
    <x:tableColumn id="20" name="60m持平"/>
    <x:tableColumn id="21" name="15m均变"/>
    <x:tableColumn id="22" name="30m均变"/>
    <x:tableColumn id="23" name="60m待观察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7" name="Summary5" displayName="Summary5" ref="A101:W104" headerRowCount="1" totalsRowCount="0" totalsRowShown="0">
  <x:autoFilter ref="A101:W104"/>
  <x:tableColumns count="23">
    <x:tableColumn id="1" name="策略/品种"/>
    <x:tableColumn id="2" name="信号周期"/>
    <x:tableColumn id="3" name="总条数"/>
    <x:tableColumn id="4" name="15m有利"/>
    <x:tableColumn id="5" name="15m样本"/>
    <x:tableColumn id="6" name="15m比例"/>
    <x:tableColumn id="7" name="30m有利"/>
    <x:tableColumn id="8" name="30m样本"/>
    <x:tableColumn id="9" name="30m比例"/>
    <x:tableColumn id="10" name="60m有利"/>
    <x:tableColumn id="11" name="60m样本"/>
    <x:tableColumn id="12" name="60m比例"/>
    <x:tableColumn id="13" name="60m均变"/>
    <x:tableColumn id="14" name="60m缺数据"/>
    <x:tableColumn id="15" name="15m不利"/>
    <x:tableColumn id="16" name="15m持平"/>
    <x:tableColumn id="17" name="30m不利"/>
    <x:tableColumn id="18" name="30m持平"/>
    <x:tableColumn id="19" name="60m不利"/>
    <x:tableColumn id="20" name="60m持平"/>
    <x:tableColumn id="21" name="15m均变"/>
    <x:tableColumn id="22" name="30m均变"/>
    <x:tableColumn id="23" name="60m待观察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1" name="PushPerformance" displayName="PushPerformance" ref="A6:AP196" headerRowCount="1" totalsRowCount="0" totalsRowShown="0">
  <x:autoFilter ref="A6:AP196"/>
  <x:tableColumns count="42">
    <x:tableColumn id="1" name="Event ID"/>
    <x:tableColumn id="2" name="发送日期"/>
    <x:tableColumn id="3" name="发送时间"/>
    <x:tableColumn id="4" name="品种"/>
    <x:tableColumn id="5" name="物理合约"/>
    <x:tableColumn id="6" name="策略"/>
    <x:tableColumn id="7" name="信号周期"/>
    <x:tableColumn id="8" name="方向"/>
    <x:tableColumn id="9" name="方向系数"/>
    <x:tableColumn id="10" name="信号 Bar 时间"/>
    <x:tableColumn id="11" name="信号收盘价"/>
    <x:tableColumn id="12" name="观察基准时间"/>
    <x:tableColumn id="13" name="观察基准价"/>
    <x:tableColumn id="14" name="15m终点价"/>
    <x:tableColumn id="15" name="15m方向变化"/>
    <x:tableColumn id="16" name="30m终点价"/>
    <x:tableColumn id="17" name="30m方向变化"/>
    <x:tableColumn id="18" name="60m终点价"/>
    <x:tableColumn id="19" name="60m方向变化"/>
    <x:tableColumn id="20" name="60m判断"/>
    <x:tableColumn id="21" name="60m最大有利幅度"/>
    <x:tableColumn id="22" name="60m最大不利幅度"/>
    <x:tableColumn id="23" name="公式复算"/>
    <x:tableColumn id="24" name="发送证据"/>
    <x:tableColumn id="25" name="15m终点时间"/>
    <x:tableColumn id="26" name="30m终点时间"/>
    <x:tableColumn id="27" name="60m终点时间"/>
    <x:tableColumn id="28" name="识别时间差(秒)"/>
    <x:tableColumn id="29" name="Rule code"/>
    <x:tableColumn id="30" name="信号价基准15m"/>
    <x:tableColumn id="31" name="信号价基准30m"/>
    <x:tableColumn id="32" name="信号价基准60m"/>
    <x:tableColumn id="33" name="记录分组"/>
    <x:tableColumn id="34" name="交易日"/>
    <x:tableColumn id="35" name="15m状态"/>
    <x:tableColumn id="36" name="30m状态"/>
    <x:tableColumn id="37" name="60m状态"/>
    <x:tableColumn id="38" name="9/10快照15m"/>
    <x:tableColumn id="39" name="9/10快照30m"/>
    <x:tableColumn id="40" name="9/10快照60m"/>
    <x:tableColumn id="41" name="60m窗口组"/>
    <x:tableColumn id="42" name="组首条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2" name="PushContents" displayName="PushContents" ref="A6:H196" headerRowCount="1" totalsRowCount="0" totalsRowShown="0">
  <x:autoFilter ref="A6:H196"/>
  <x:tableColumns count="8">
    <x:tableColumn id="1" name="Event ID"/>
    <x:tableColumn id="2" name="发送时间(北京时间)"/>
    <x:tableColumn id="3" name="品种"/>
    <x:tableColumn id="4" name="策略"/>
    <x:tableColumn id="5" name="周期"/>
    <x:tableColumn id="6" name="发送证据"/>
    <x:tableColumn id="7" name="推送正文（按模板复原）"/>
    <x:tableColumn id="8" name="公式复核口径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2a41614b3484fd5" /><Relationship Type="http://schemas.openxmlformats.org/officeDocument/2006/relationships/table" Target="/xl/tables/table2.xml" Id="R7562458085c349c1" /><Relationship Type="http://schemas.openxmlformats.org/officeDocument/2006/relationships/table" Target="/xl/tables/table3.xml" Id="R196d48c49d72446e" /><Relationship Type="http://schemas.openxmlformats.org/officeDocument/2006/relationships/table" Target="/xl/tables/table4.xml" Id="Ra95a8f55e63f4e4d" /><Relationship Type="http://schemas.openxmlformats.org/officeDocument/2006/relationships/table" Target="/xl/tables/table5.xml" Id="R0518f6c98ae040d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6.xml" Id="Ra507a0bae83e401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7.xml" Id="Re35cb67df25c40bc" /></Relationships>
</file>

<file path=xl/worksheets/sheet1.xml><?xml version="1.0" encoding="utf-8"?>
<x:worksheet xmlns:x="http://schemas.openxmlformats.org/spreadsheetml/2006/main">
  <x:sheetPr>
    <x:tabColor rgb="FF253B58"/>
  </x:sheetPr>
  <x:sheetViews>
    <x:sheetView showGridLines="0" workbookViewId="0">
      <x:pane xSplit="2" ySplit="8" topLeftCell="C9" activePane="bottomRight" state="frozen"/>
    </x:sheetView>
  </x:sheetViews>
  <x:sheetFormatPr defaultRowHeight="15"/>
  <x:cols>
    <x:col min="1" max="1" width="34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</x:row>
    <x:row r="2">
      <x:c r="A2" s="3" t="str">
        <x:v>2026-09-11 推送复盘（PARTIAL）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</x:row>
    <x:row r="4">
      <x:c r="A4" s="2" t="str">
        <x:v>当日新增 0 条；本周 190 条。预警仍停在9月10日10:15。今天0条新增不能解释为正常无信号。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</x:row>
    <x:row r="5">
      <x:c r="A5" s="2" t="str">
        <x:v>今日60品种缺有效Session及当日rank1映射；本周当前60m可重算 59 条，131 条数据不足。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</x:row>
    <x:row r="6">
      <x:c r="A6" s="2" t="str">
        <x:v>发送尝试时间是识别时点代理，并非微信收件时间；方向表现不是含成本交易胜率。向右可查看正负持平及均值。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</x:row>
    <x:row r="7" ht="27" customHeight="1">
      <x:c r="A7" s="2" t="str">
        <x:v>当日预警表现：今日无新增记录，比例不适用。</x:v>
      </x:c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</x:row>
    <x:row r="8" ht="27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</x:row>
    <x:row r="9" ht="27" customHeight="1">
      <x:c r="A9" s="15" t="str">
        <x:v>本周当前可重算子集（缺数据单列，不与昨日全样本直接比较）</x:v>
      </x:c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  <x:c r="AO9" s="2"/>
      <x:c r="AP9" s="2"/>
    </x:row>
    <x:row r="10" ht="38" customHeight="1">
      <x:c r="A10" s="9" t="str">
        <x:v>策略/品种</x:v>
      </x:c>
      <x:c r="B10" s="9" t="str">
        <x:v>信号周期</x:v>
      </x:c>
      <x:c r="C10" s="9" t="str">
        <x:v>总条数</x:v>
      </x:c>
      <x:c r="D10" s="9" t="str">
        <x:v>15m有利</x:v>
      </x:c>
      <x:c r="E10" s="9" t="str">
        <x:v>15m样本</x:v>
      </x:c>
      <x:c r="F10" s="9" t="str">
        <x:v>15m比例</x:v>
      </x:c>
      <x:c r="G10" s="9" t="str">
        <x:v>30m有利</x:v>
      </x:c>
      <x:c r="H10" s="9" t="str">
        <x:v>30m样本</x:v>
      </x:c>
      <x:c r="I10" s="9" t="str">
        <x:v>30m比例</x:v>
      </x:c>
      <x:c r="J10" s="9" t="str">
        <x:v>60m有利</x:v>
      </x:c>
      <x:c r="K10" s="9" t="str">
        <x:v>60m样本</x:v>
      </x:c>
      <x:c r="L10" s="9" t="str">
        <x:v>60m比例</x:v>
      </x:c>
      <x:c r="M10" s="9" t="str">
        <x:v>60m均变</x:v>
      </x:c>
      <x:c r="N10" s="9" t="str">
        <x:v>60m缺数据</x:v>
      </x:c>
      <x:c r="O10" s="9" t="str">
        <x:v>15m不利</x:v>
      </x:c>
      <x:c r="P10" s="9" t="str">
        <x:v>15m持平</x:v>
      </x:c>
      <x:c r="Q10" s="9" t="str">
        <x:v>30m不利</x:v>
      </x:c>
      <x:c r="R10" s="9" t="str">
        <x:v>30m持平</x:v>
      </x:c>
      <x:c r="S10" s="9" t="str">
        <x:v>60m不利</x:v>
      </x:c>
      <x:c r="T10" s="9" t="str">
        <x:v>60m持平</x:v>
      </x:c>
      <x:c r="U10" s="9" t="str">
        <x:v>15m均变</x:v>
      </x:c>
      <x:c r="V10" s="9" t="str">
        <x:v>30m均变</x:v>
      </x:c>
      <x:c r="W10" s="9" t="str">
        <x:v>60m待观察</x:v>
      </x:c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  <x:c r="AL10" s="2"/>
      <x:c r="AM10" s="2"/>
      <x:c r="AN10" s="2"/>
      <x:c r="AO10" s="2"/>
      <x:c r="AP10" s="2"/>
    </x:row>
    <x:row r="11" ht="27" customHeight="1">
      <x:c r="A11" s="2" t="str">
        <x:v>火天大有</x:v>
      </x:c>
      <x:c r="B11" s="2" t="str">
        <x:v>15m</x:v>
      </x:c>
      <x:c r="C11" s="16" t="n">
        <x:f>COUNTIFS('逐条表现'!$F$7:$F$196,"火天大有",'逐条表现'!$G$7:$G$196,"15m")</x:f>
        <x:v>7</x:v>
      </x:c>
      <x:c r="D11" s="16" t="n">
        <x:f>COUNTIFS('逐条表现'!$F$7:$F$196,"火天大有",'逐条表现'!$G$7:$G$196,"15m",'逐条表现'!$N$7:$N$196,"&gt;0",'逐条表现'!$O$7:$O$196,"&gt;0")</x:f>
        <x:v>1</x:v>
      </x:c>
      <x:c r="E11" s="16" t="n">
        <x:f>COUNTIFS('逐条表现'!$F$7:$F$196,"火天大有",'逐条表现'!$G$7:$G$196,"15m",'逐条表现'!$N$7:$N$196,"&gt;0")</x:f>
        <x:v>3</x:v>
      </x:c>
      <x:c r="F11" s="17" t="n">
        <x:f>IF(E11=0,"",D11/E11)</x:f>
        <x:v>0.3333333333333333</x:v>
      </x:c>
      <x:c r="G11" s="16" t="n">
        <x:f>COUNTIFS('逐条表现'!$F$7:$F$196,"火天大有",'逐条表现'!$G$7:$G$196,"15m",'逐条表现'!$P$7:$P$196,"&gt;0",'逐条表现'!$Q$7:$Q$196,"&gt;0")</x:f>
        <x:v>1</x:v>
      </x:c>
      <x:c r="H11" s="16" t="n">
        <x:f>COUNTIFS('逐条表现'!$F$7:$F$196,"火天大有",'逐条表现'!$G$7:$G$196,"15m",'逐条表现'!$P$7:$P$196,"&gt;0")</x:f>
        <x:v>3</x:v>
      </x:c>
      <x:c r="I11" s="17" t="n">
        <x:f>IF(H11=0,"",G11/H11)</x:f>
        <x:v>0.3333333333333333</x:v>
      </x:c>
      <x:c r="J11" s="16" t="n">
        <x:f>COUNTIFS('逐条表现'!$F$7:$F$196,"火天大有",'逐条表现'!$G$7:$G$196,"15m",'逐条表现'!$R$7:$R$196,"&gt;0",'逐条表现'!$S$7:$S$196,"&gt;0")</x:f>
        <x:v>2</x:v>
      </x:c>
      <x:c r="K11" s="16" t="n">
        <x:f>COUNTIFS('逐条表现'!$F$7:$F$196,"火天大有",'逐条表现'!$G$7:$G$196,"15m",'逐条表现'!$R$7:$R$196,"&gt;0")</x:f>
        <x:v>3</x:v>
      </x:c>
      <x:c r="L11" s="17" t="n">
        <x:f>IF(K11=0,"",J11/K11)</x:f>
        <x:v>0.6666666666666666</x:v>
      </x:c>
      <x:c r="M11" s="5" t="n">
        <x:f>IF(K11=0,"",SUMIFS('逐条表现'!$S$7:$S$196,'逐条表现'!$F$7:$F$196,"火天大有",'逐条表现'!$G$7:$G$196,"15m")/K11)</x:f>
        <x:v>0.00015907637109017583</x:v>
      </x:c>
      <x:c r="N11" s="16" t="n">
        <x:f>C11-K11-COUNTIFS('逐条表现'!$F$7:$F$196,"火天大有",'逐条表现'!$G$7:$G$196,"15m",'逐条表现'!$AK$7:$AK$196,"待观察")</x:f>
        <x:v>4</x:v>
      </x:c>
      <x:c r="O11" s="16" t="n">
        <x:f>COUNTIFS('逐条表现'!$F$7:$F$196,"火天大有",'逐条表现'!$G$7:$G$196,"15m",'逐条表现'!$N$7:$N$196,"&gt;0",'逐条表现'!$O$7:$O$196,"&lt;0")</x:f>
        <x:v>2</x:v>
      </x:c>
      <x:c r="P11" s="16" t="n">
        <x:f>COUNTIFS('逐条表现'!$F$7:$F$196,"火天大有",'逐条表现'!$G$7:$G$196,"15m",'逐条表现'!$N$7:$N$196,"&gt;0",'逐条表现'!$O$7:$O$196,"=0")</x:f>
        <x:v>0</x:v>
      </x:c>
      <x:c r="Q11" s="16" t="n">
        <x:f>COUNTIFS('逐条表现'!$F$7:$F$196,"火天大有",'逐条表现'!$G$7:$G$196,"15m",'逐条表现'!$P$7:$P$196,"&gt;0",'逐条表现'!$Q$7:$Q$196,"&lt;0")</x:f>
        <x:v>2</x:v>
      </x:c>
      <x:c r="R11" s="16" t="n">
        <x:f>COUNTIFS('逐条表现'!$F$7:$F$196,"火天大有",'逐条表现'!$G$7:$G$196,"15m",'逐条表现'!$P$7:$P$196,"&gt;0",'逐条表现'!$Q$7:$Q$196,"=0")</x:f>
        <x:v>0</x:v>
      </x:c>
      <x:c r="S11" s="16" t="n">
        <x:f>COUNTIFS('逐条表现'!$F$7:$F$196,"火天大有",'逐条表现'!$G$7:$G$196,"15m",'逐条表现'!$R$7:$R$196,"&gt;0",'逐条表现'!$S$7:$S$196,"&lt;0")</x:f>
        <x:v>1</x:v>
      </x:c>
      <x:c r="T11" s="16" t="n">
        <x:f>COUNTIFS('逐条表现'!$F$7:$F$196,"火天大有",'逐条表现'!$G$7:$G$196,"15m",'逐条表现'!$R$7:$R$196,"&gt;0",'逐条表现'!$S$7:$S$196,"=0")</x:f>
        <x:v>0</x:v>
      </x:c>
      <x:c r="U11" s="5" t="n">
        <x:f>IF(E11=0,"",SUMIFS('逐条表现'!$O$7:$O$196,'逐条表现'!$F$7:$F$196,"火天大有",'逐条表现'!$G$7:$G$196,"15m")/E11)</x:f>
        <x:v>-0.00367911891418223</x:v>
      </x:c>
      <x:c r="V11" s="5" t="n">
        <x:f>IF(H11=0,"",SUMIFS('逐条表现'!$Q$7:$Q$196,'逐条表现'!$F$7:$F$196,"火天大有",'逐条表现'!$G$7:$G$196,"15m")/H11)</x:f>
        <x:v>-0.0012442584456754762</x:v>
      </x:c>
      <x:c r="W11" s="16" t="n">
        <x:f>C11-K11-N11</x:f>
        <x:v>0</x:v>
      </x:c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  <x:c r="AO11" s="2"/>
      <x:c r="AP11" s="2"/>
    </x:row>
    <x:row r="12" ht="27" customHeight="1">
      <x:c r="A12" s="2" t="str">
        <x:v>火天大有</x:v>
      </x:c>
      <x:c r="B12" s="2" t="str">
        <x:v>5m</x:v>
      </x:c>
      <x:c r="C12" s="16" t="n">
        <x:f>COUNTIFS('逐条表现'!$F$7:$F$196,"火天大有",'逐条表现'!$G$7:$G$196,"5m")</x:f>
        <x:v>13</x:v>
      </x:c>
      <x:c r="D12" s="16" t="n">
        <x:f>COUNTIFS('逐条表现'!$F$7:$F$196,"火天大有",'逐条表现'!$G$7:$G$196,"5m",'逐条表现'!$N$7:$N$196,"&gt;0",'逐条表现'!$O$7:$O$196,"&gt;0")</x:f>
        <x:v>3</x:v>
      </x:c>
      <x:c r="E12" s="16" t="n">
        <x:f>COUNTIFS('逐条表现'!$F$7:$F$196,"火天大有",'逐条表现'!$G$7:$G$196,"5m",'逐条表现'!$N$7:$N$196,"&gt;0")</x:f>
        <x:v>8</x:v>
      </x:c>
      <x:c r="F12" s="17" t="n">
        <x:f>IF(E12=0,"",D12/E12)</x:f>
        <x:v>0.375</x:v>
      </x:c>
      <x:c r="G12" s="16" t="n">
        <x:f>COUNTIFS('逐条表现'!$F$7:$F$196,"火天大有",'逐条表现'!$G$7:$G$196,"5m",'逐条表现'!$P$7:$P$196,"&gt;0",'逐条表现'!$Q$7:$Q$196,"&gt;0")</x:f>
        <x:v>2</x:v>
      </x:c>
      <x:c r="H12" s="16" t="n">
        <x:f>COUNTIFS('逐条表现'!$F$7:$F$196,"火天大有",'逐条表现'!$G$7:$G$196,"5m",'逐条表现'!$P$7:$P$196,"&gt;0")</x:f>
        <x:v>8</x:v>
      </x:c>
      <x:c r="I12" s="17" t="n">
        <x:f>IF(H12=0,"",G12/H12)</x:f>
        <x:v>0.25</x:v>
      </x:c>
      <x:c r="J12" s="16" t="n">
        <x:f>COUNTIFS('逐条表现'!$F$7:$F$196,"火天大有",'逐条表现'!$G$7:$G$196,"5m",'逐条表现'!$R$7:$R$196,"&gt;0",'逐条表现'!$S$7:$S$196,"&gt;0")</x:f>
        <x:v>1</x:v>
      </x:c>
      <x:c r="K12" s="16" t="n">
        <x:f>COUNTIFS('逐条表现'!$F$7:$F$196,"火天大有",'逐条表现'!$G$7:$G$196,"5m",'逐条表现'!$R$7:$R$196,"&gt;0")</x:f>
        <x:v>8</x:v>
      </x:c>
      <x:c r="L12" s="17" t="n">
        <x:f>IF(K12=0,"",J12/K12)</x:f>
        <x:v>0.125</x:v>
      </x:c>
      <x:c r="M12" s="5" t="n">
        <x:f>IF(K12=0,"",SUMIFS('逐条表现'!$S$7:$S$196,'逐条表现'!$F$7:$F$196,"火天大有",'逐条表现'!$G$7:$G$196,"5m")/K12)</x:f>
        <x:v>-0.009352788367343878</x:v>
      </x:c>
      <x:c r="N12" s="16" t="n">
        <x:f>C12-K12-COUNTIFS('逐条表现'!$F$7:$F$196,"火天大有",'逐条表现'!$G$7:$G$196,"5m",'逐条表现'!$AK$7:$AK$196,"待观察")</x:f>
        <x:v>5</x:v>
      </x:c>
      <x:c r="O12" s="16" t="n">
        <x:f>COUNTIFS('逐条表现'!$F$7:$F$196,"火天大有",'逐条表现'!$G$7:$G$196,"5m",'逐条表现'!$N$7:$N$196,"&gt;0",'逐条表现'!$O$7:$O$196,"&lt;0")</x:f>
        <x:v>5</x:v>
      </x:c>
      <x:c r="P12" s="16" t="n">
        <x:f>COUNTIFS('逐条表现'!$F$7:$F$196,"火天大有",'逐条表现'!$G$7:$G$196,"5m",'逐条表现'!$N$7:$N$196,"&gt;0",'逐条表现'!$O$7:$O$196,"=0")</x:f>
        <x:v>0</x:v>
      </x:c>
      <x:c r="Q12" s="16" t="n">
        <x:f>COUNTIFS('逐条表现'!$F$7:$F$196,"火天大有",'逐条表现'!$G$7:$G$196,"5m",'逐条表现'!$P$7:$P$196,"&gt;0",'逐条表现'!$Q$7:$Q$196,"&lt;0")</x:f>
        <x:v>6</x:v>
      </x:c>
      <x:c r="R12" s="16" t="n">
        <x:f>COUNTIFS('逐条表现'!$F$7:$F$196,"火天大有",'逐条表现'!$G$7:$G$196,"5m",'逐条表现'!$P$7:$P$196,"&gt;0",'逐条表现'!$Q$7:$Q$196,"=0")</x:f>
        <x:v>0</x:v>
      </x:c>
      <x:c r="S12" s="16" t="n">
        <x:f>COUNTIFS('逐条表现'!$F$7:$F$196,"火天大有",'逐条表现'!$G$7:$G$196,"5m",'逐条表现'!$R$7:$R$196,"&gt;0",'逐条表现'!$S$7:$S$196,"&lt;0")</x:f>
        <x:v>7</x:v>
      </x:c>
      <x:c r="T12" s="16" t="n">
        <x:f>COUNTIFS('逐条表现'!$F$7:$F$196,"火天大有",'逐条表现'!$G$7:$G$196,"5m",'逐条表现'!$R$7:$R$196,"&gt;0",'逐条表现'!$S$7:$S$196,"=0")</x:f>
        <x:v>0</x:v>
      </x:c>
      <x:c r="U12" s="5" t="n">
        <x:f>IF(E12=0,"",SUMIFS('逐条表现'!$O$7:$O$196,'逐条表现'!$F$7:$F$196,"火天大有",'逐条表现'!$G$7:$G$196,"5m")/E12)</x:f>
        <x:v>-0.0009602253366681884</x:v>
      </x:c>
      <x:c r="V12" s="5" t="n">
        <x:f>IF(H12=0,"",SUMIFS('逐条表现'!$Q$7:$Q$196,'逐条表现'!$F$7:$F$196,"火天大有",'逐条表现'!$G$7:$G$196,"5m")/H12)</x:f>
        <x:v>-0.005542718917654066</x:v>
      </x:c>
      <x:c r="W12" s="16" t="n">
        <x:f>C12-K12-N12</x:f>
        <x:v>0</x:v>
      </x:c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  <x:c r="AO12" s="2"/>
      <x:c r="AP12" s="2"/>
    </x:row>
    <x:row r="13" ht="27" customHeight="1">
      <x:c r="A13" s="2" t="str">
        <x:v>苏冰</x:v>
      </x:c>
      <x:c r="B13" s="2" t="str">
        <x:v>15m</x:v>
      </x:c>
      <x:c r="C13" s="16" t="n">
        <x:f>COUNTIFS('逐条表现'!$F$7:$F$196,"苏冰",'逐条表现'!$G$7:$G$196,"15m")</x:f>
        <x:v>170</x:v>
      </x:c>
      <x:c r="D13" s="16" t="n">
        <x:f>COUNTIFS('逐条表现'!$F$7:$F$196,"苏冰",'逐条表现'!$G$7:$G$196,"15m",'逐条表现'!$N$7:$N$196,"&gt;0",'逐条表现'!$O$7:$O$196,"&gt;0")</x:f>
        <x:v>28</x:v>
      </x:c>
      <x:c r="E13" s="16" t="n">
        <x:f>COUNTIFS('逐条表现'!$F$7:$F$196,"苏冰",'逐条表现'!$G$7:$G$196,"15m",'逐条表现'!$N$7:$N$196,"&gt;0")</x:f>
        <x:v>53</x:v>
      </x:c>
      <x:c r="F13" s="17" t="n">
        <x:f>IF(E13=0,"",D13/E13)</x:f>
        <x:v>0.5283018867924528</x:v>
      </x:c>
      <x:c r="G13" s="16" t="n">
        <x:f>COUNTIFS('逐条表现'!$F$7:$F$196,"苏冰",'逐条表现'!$G$7:$G$196,"15m",'逐条表现'!$P$7:$P$196,"&gt;0",'逐条表现'!$Q$7:$Q$196,"&gt;0")</x:f>
        <x:v>31</x:v>
      </x:c>
      <x:c r="H13" s="16" t="n">
        <x:f>COUNTIFS('逐条表现'!$F$7:$F$196,"苏冰",'逐条表现'!$G$7:$G$196,"15m",'逐条表现'!$P$7:$P$196,"&gt;0")</x:f>
        <x:v>51</x:v>
      </x:c>
      <x:c r="I13" s="17" t="n">
        <x:f>IF(H13=0,"",G13/H13)</x:f>
        <x:v>0.6078431372549019</x:v>
      </x:c>
      <x:c r="J13" s="16" t="n">
        <x:f>COUNTIFS('逐条表现'!$F$7:$F$196,"苏冰",'逐条表现'!$G$7:$G$196,"15m",'逐条表现'!$R$7:$R$196,"&gt;0",'逐条表现'!$S$7:$S$196,"&gt;0")</x:f>
        <x:v>23</x:v>
      </x:c>
      <x:c r="K13" s="16" t="n">
        <x:f>COUNTIFS('逐条表现'!$F$7:$F$196,"苏冰",'逐条表现'!$G$7:$G$196,"15m",'逐条表现'!$R$7:$R$196,"&gt;0")</x:f>
        <x:v>48</x:v>
      </x:c>
      <x:c r="L13" s="17" t="n">
        <x:f>IF(K13=0,"",J13/K13)</x:f>
        <x:v>0.4791666666666667</x:v>
      </x:c>
      <x:c r="M13" s="5" t="n">
        <x:f>IF(K13=0,"",SUMIFS('逐条表现'!$S$7:$S$196,'逐条表现'!$F$7:$F$196,"苏冰",'逐条表现'!$G$7:$G$196,"15m")/K13)</x:f>
        <x:v>0.0010343114389934325</x:v>
      </x:c>
      <x:c r="N13" s="16" t="n">
        <x:f>C13-K13-COUNTIFS('逐条表现'!$F$7:$F$196,"苏冰",'逐条表现'!$G$7:$G$196,"15m",'逐条表现'!$AK$7:$AK$196,"待观察")</x:f>
        <x:v>122</x:v>
      </x:c>
      <x:c r="O13" s="16" t="n">
        <x:f>COUNTIFS('逐条表现'!$F$7:$F$196,"苏冰",'逐条表现'!$G$7:$G$196,"15m",'逐条表现'!$N$7:$N$196,"&gt;0",'逐条表现'!$O$7:$O$196,"&lt;0")</x:f>
        <x:v>22</x:v>
      </x:c>
      <x:c r="P13" s="16" t="n">
        <x:f>COUNTIFS('逐条表现'!$F$7:$F$196,"苏冰",'逐条表现'!$G$7:$G$196,"15m",'逐条表现'!$N$7:$N$196,"&gt;0",'逐条表现'!$O$7:$O$196,"=0")</x:f>
        <x:v>3</x:v>
      </x:c>
      <x:c r="Q13" s="16" t="n">
        <x:f>COUNTIFS('逐条表现'!$F$7:$F$196,"苏冰",'逐条表现'!$G$7:$G$196,"15m",'逐条表现'!$P$7:$P$196,"&gt;0",'逐条表现'!$Q$7:$Q$196,"&lt;0")</x:f>
        <x:v>19</x:v>
      </x:c>
      <x:c r="R13" s="16" t="n">
        <x:f>COUNTIFS('逐条表现'!$F$7:$F$196,"苏冰",'逐条表现'!$G$7:$G$196,"15m",'逐条表现'!$P$7:$P$196,"&gt;0",'逐条表现'!$Q$7:$Q$196,"=0")</x:f>
        <x:v>1</x:v>
      </x:c>
      <x:c r="S13" s="16" t="n">
        <x:f>COUNTIFS('逐条表现'!$F$7:$F$196,"苏冰",'逐条表现'!$G$7:$G$196,"15m",'逐条表现'!$R$7:$R$196,"&gt;0",'逐条表现'!$S$7:$S$196,"&lt;0")</x:f>
        <x:v>24</x:v>
      </x:c>
      <x:c r="T13" s="16" t="n">
        <x:f>COUNTIFS('逐条表现'!$F$7:$F$196,"苏冰",'逐条表现'!$G$7:$G$196,"15m",'逐条表现'!$R$7:$R$196,"&gt;0",'逐条表现'!$S$7:$S$196,"=0")</x:f>
        <x:v>1</x:v>
      </x:c>
      <x:c r="U13" s="5" t="n">
        <x:f>IF(E13=0,"",SUMIFS('逐条表现'!$O$7:$O$196,'逐条表现'!$F$7:$F$196,"苏冰",'逐条表现'!$G$7:$G$196,"15m")/E13)</x:f>
        <x:v>0.0004161496416271454</x:v>
      </x:c>
      <x:c r="V13" s="5" t="n">
        <x:f>IF(H13=0,"",SUMIFS('逐条表现'!$Q$7:$Q$196,'逐条表现'!$F$7:$F$196,"苏冰",'逐条表现'!$G$7:$G$196,"15m")/H13)</x:f>
        <x:v>0.0008398132163075913</x:v>
      </x:c>
      <x:c r="W13" s="16" t="n">
        <x:f>C13-K13-N13</x:f>
        <x:v>0</x:v>
      </x:c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  <x:c r="AO13" s="2"/>
      <x:c r="AP13" s="2"/>
    </x:row>
    <x:row r="14" ht="27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  <x:c r="AO14" s="2"/>
      <x:c r="AP14" s="2"/>
    </x:row>
    <x:row r="15" ht="27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  <x:c r="AO15" s="2"/>
      <x:c r="AP15" s="2"/>
    </x:row>
    <x:row r="16" ht="27" customHeight="1">
      <x:c r="A16" s="15" t="str">
        <x:v>本周品种：当前可重算子集</x:v>
      </x:c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  <x:c r="AO16" s="2"/>
      <x:c r="AP16" s="2"/>
    </x:row>
    <x:row r="17" ht="38" customHeight="1">
      <x:c r="A17" s="9" t="str">
        <x:v>策略/品种</x:v>
      </x:c>
      <x:c r="B17" s="9" t="str">
        <x:v>信号周期</x:v>
      </x:c>
      <x:c r="C17" s="9" t="str">
        <x:v>总条数</x:v>
      </x:c>
      <x:c r="D17" s="9" t="str">
        <x:v>15m有利</x:v>
      </x:c>
      <x:c r="E17" s="9" t="str">
        <x:v>15m样本</x:v>
      </x:c>
      <x:c r="F17" s="9" t="str">
        <x:v>15m比例</x:v>
      </x:c>
      <x:c r="G17" s="9" t="str">
        <x:v>30m有利</x:v>
      </x:c>
      <x:c r="H17" s="9" t="str">
        <x:v>30m样本</x:v>
      </x:c>
      <x:c r="I17" s="9" t="str">
        <x:v>30m比例</x:v>
      </x:c>
      <x:c r="J17" s="9" t="str">
        <x:v>60m有利</x:v>
      </x:c>
      <x:c r="K17" s="9" t="str">
        <x:v>60m样本</x:v>
      </x:c>
      <x:c r="L17" s="9" t="str">
        <x:v>60m比例</x:v>
      </x:c>
      <x:c r="M17" s="9" t="str">
        <x:v>60m均变</x:v>
      </x:c>
      <x:c r="N17" s="9" t="str">
        <x:v>60m缺数据</x:v>
      </x:c>
      <x:c r="O17" s="9" t="str">
        <x:v>15m不利</x:v>
      </x:c>
      <x:c r="P17" s="9" t="str">
        <x:v>15m持平</x:v>
      </x:c>
      <x:c r="Q17" s="9" t="str">
        <x:v>30m不利</x:v>
      </x:c>
      <x:c r="R17" s="9" t="str">
        <x:v>30m持平</x:v>
      </x:c>
      <x:c r="S17" s="9" t="str">
        <x:v>60m不利</x:v>
      </x:c>
      <x:c r="T17" s="9" t="str">
        <x:v>60m持平</x:v>
      </x:c>
      <x:c r="U17" s="9" t="str">
        <x:v>15m均变</x:v>
      </x:c>
      <x:c r="V17" s="9" t="str">
        <x:v>30m均变</x:v>
      </x:c>
      <x:c r="W17" s="9" t="str">
        <x:v>60m待观察</x:v>
      </x:c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  <x:c r="AP17" s="2"/>
    </x:row>
    <x:row r="18" ht="27" customHeight="1">
      <x:c r="A18" s="2" t="str">
        <x:v>焦煤 JM 火天大有</x:v>
      </x:c>
      <x:c r="B18" s="2" t="str">
        <x:v>15m</x:v>
      </x:c>
      <x:c r="C18" s="16" t="n">
        <x:f>COUNTIFS('逐条表现'!$F$7:$F$196,"火天大有",'逐条表现'!$G$7:$G$196,"15m",'逐条表现'!$D$7:$D$196,"焦煤")</x:f>
        <x:v>7</x:v>
      </x:c>
      <x:c r="D18" s="16" t="n">
        <x:f>COUNTIFS('逐条表现'!$F$7:$F$196,"火天大有",'逐条表现'!$G$7:$G$196,"15m",'逐条表现'!$D$7:$D$196,"焦煤",'逐条表现'!$N$7:$N$196,"&gt;0",'逐条表现'!$O$7:$O$196,"&gt;0")</x:f>
        <x:v>1</x:v>
      </x:c>
      <x:c r="E18" s="16" t="n">
        <x:f>COUNTIFS('逐条表现'!$F$7:$F$196,"火天大有",'逐条表现'!$G$7:$G$196,"15m",'逐条表现'!$D$7:$D$196,"焦煤",'逐条表现'!$N$7:$N$196,"&gt;0")</x:f>
        <x:v>3</x:v>
      </x:c>
      <x:c r="F18" s="17" t="n">
        <x:f>IF(E18=0,"",D18/E18)</x:f>
        <x:v>0.3333333333333333</x:v>
      </x:c>
      <x:c r="G18" s="16" t="n">
        <x:f>COUNTIFS('逐条表现'!$F$7:$F$196,"火天大有",'逐条表现'!$G$7:$G$196,"15m",'逐条表现'!$D$7:$D$196,"焦煤",'逐条表现'!$P$7:$P$196,"&gt;0",'逐条表现'!$Q$7:$Q$196,"&gt;0")</x:f>
        <x:v>1</x:v>
      </x:c>
      <x:c r="H18" s="16" t="n">
        <x:f>COUNTIFS('逐条表现'!$F$7:$F$196,"火天大有",'逐条表现'!$G$7:$G$196,"15m",'逐条表现'!$D$7:$D$196,"焦煤",'逐条表现'!$P$7:$P$196,"&gt;0")</x:f>
        <x:v>3</x:v>
      </x:c>
      <x:c r="I18" s="17" t="n">
        <x:f>IF(H18=0,"",G18/H18)</x:f>
        <x:v>0.3333333333333333</x:v>
      </x:c>
      <x:c r="J18" s="16" t="n">
        <x:f>COUNTIFS('逐条表现'!$F$7:$F$196,"火天大有",'逐条表现'!$G$7:$G$196,"15m",'逐条表现'!$D$7:$D$196,"焦煤",'逐条表现'!$R$7:$R$196,"&gt;0",'逐条表现'!$S$7:$S$196,"&gt;0")</x:f>
        <x:v>2</x:v>
      </x:c>
      <x:c r="K18" s="16" t="n">
        <x:f>COUNTIFS('逐条表现'!$F$7:$F$196,"火天大有",'逐条表现'!$G$7:$G$196,"15m",'逐条表现'!$D$7:$D$196,"焦煤",'逐条表现'!$R$7:$R$196,"&gt;0")</x:f>
        <x:v>3</x:v>
      </x:c>
      <x:c r="L18" s="17" t="n">
        <x:f>IF(K18=0,"",J18/K18)</x:f>
        <x:v>0.6666666666666666</x:v>
      </x:c>
      <x:c r="M18" s="5" t="n">
        <x:f>IF(K18=0,"",SUMIFS('逐条表现'!$S$7:$S$196,'逐条表现'!$F$7:$F$196,"火天大有",'逐条表现'!$G$7:$G$196,"15m",'逐条表现'!$D$7:$D$196,"焦煤")/K18)</x:f>
        <x:v>0.00015907637109017583</x:v>
      </x:c>
      <x:c r="N18" s="16" t="n">
        <x:f>C18-K18-COUNTIFS('逐条表现'!$F$7:$F$196,"火天大有",'逐条表现'!$G$7:$G$196,"15m",'逐条表现'!$D$7:$D$196,"焦煤",'逐条表现'!$AK$7:$AK$196,"待观察")</x:f>
        <x:v>4</x:v>
      </x:c>
      <x:c r="O18" s="16" t="n">
        <x:f>COUNTIFS('逐条表现'!$F$7:$F$196,"火天大有",'逐条表现'!$G$7:$G$196,"15m",'逐条表现'!$D$7:$D$196,"焦煤",'逐条表现'!$N$7:$N$196,"&gt;0",'逐条表现'!$O$7:$O$196,"&lt;0")</x:f>
        <x:v>2</x:v>
      </x:c>
      <x:c r="P18" s="16" t="n">
        <x:f>COUNTIFS('逐条表现'!$F$7:$F$196,"火天大有",'逐条表现'!$G$7:$G$196,"15m",'逐条表现'!$D$7:$D$196,"焦煤",'逐条表现'!$N$7:$N$196,"&gt;0",'逐条表现'!$O$7:$O$196,"=0")</x:f>
        <x:v>0</x:v>
      </x:c>
      <x:c r="Q18" s="16" t="n">
        <x:f>COUNTIFS('逐条表现'!$F$7:$F$196,"火天大有",'逐条表现'!$G$7:$G$196,"15m",'逐条表现'!$D$7:$D$196,"焦煤",'逐条表现'!$P$7:$P$196,"&gt;0",'逐条表现'!$Q$7:$Q$196,"&lt;0")</x:f>
        <x:v>2</x:v>
      </x:c>
      <x:c r="R18" s="16" t="n">
        <x:f>COUNTIFS('逐条表现'!$F$7:$F$196,"火天大有",'逐条表现'!$G$7:$G$196,"15m",'逐条表现'!$D$7:$D$196,"焦煤",'逐条表现'!$P$7:$P$196,"&gt;0",'逐条表现'!$Q$7:$Q$196,"=0")</x:f>
        <x:v>0</x:v>
      </x:c>
      <x:c r="S18" s="16" t="n">
        <x:f>COUNTIFS('逐条表现'!$F$7:$F$196,"火天大有",'逐条表现'!$G$7:$G$196,"15m",'逐条表现'!$D$7:$D$196,"焦煤",'逐条表现'!$R$7:$R$196,"&gt;0",'逐条表现'!$S$7:$S$196,"&lt;0")</x:f>
        <x:v>1</x:v>
      </x:c>
      <x:c r="T18" s="16" t="n">
        <x:f>COUNTIFS('逐条表现'!$F$7:$F$196,"火天大有",'逐条表现'!$G$7:$G$196,"15m",'逐条表现'!$D$7:$D$196,"焦煤",'逐条表现'!$R$7:$R$196,"&gt;0",'逐条表现'!$S$7:$S$196,"=0")</x:f>
        <x:v>0</x:v>
      </x:c>
      <x:c r="U18" s="5" t="n">
        <x:f>IF(E18=0,"",SUMIFS('逐条表现'!$O$7:$O$196,'逐条表现'!$F$7:$F$196,"火天大有",'逐条表现'!$G$7:$G$196,"15m",'逐条表现'!$D$7:$D$196,"焦煤")/E18)</x:f>
        <x:v>-0.00367911891418223</x:v>
      </x:c>
      <x:c r="V18" s="5" t="n">
        <x:f>IF(H18=0,"",SUMIFS('逐条表现'!$Q$7:$Q$196,'逐条表现'!$F$7:$F$196,"火天大有",'逐条表现'!$G$7:$G$196,"15m",'逐条表现'!$D$7:$D$196,"焦煤")/H18)</x:f>
        <x:v>-0.0012442584456754762</x:v>
      </x:c>
      <x:c r="W18" s="16" t="n">
        <x:f>C18-K18-N18</x:f>
        <x:v>0</x:v>
      </x:c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  <x:c r="AO18" s="2"/>
      <x:c r="AP18" s="2"/>
    </x:row>
    <x:row r="19" ht="27" customHeight="1">
      <x:c r="A19" s="2" t="str">
        <x:v>焦煤 JM 火天大有</x:v>
      </x:c>
      <x:c r="B19" s="2" t="str">
        <x:v>5m</x:v>
      </x:c>
      <x:c r="C19" s="16" t="n">
        <x:f>COUNTIFS('逐条表现'!$F$7:$F$196,"火天大有",'逐条表现'!$G$7:$G$196,"5m",'逐条表现'!$D$7:$D$196,"焦煤")</x:f>
        <x:v>13</x:v>
      </x:c>
      <x:c r="D19" s="16" t="n">
        <x:f>COUNTIFS('逐条表现'!$F$7:$F$196,"火天大有",'逐条表现'!$G$7:$G$196,"5m",'逐条表现'!$D$7:$D$196,"焦煤",'逐条表现'!$N$7:$N$196,"&gt;0",'逐条表现'!$O$7:$O$196,"&gt;0")</x:f>
        <x:v>3</x:v>
      </x:c>
      <x:c r="E19" s="16" t="n">
        <x:f>COUNTIFS('逐条表现'!$F$7:$F$196,"火天大有",'逐条表现'!$G$7:$G$196,"5m",'逐条表现'!$D$7:$D$196,"焦煤",'逐条表现'!$N$7:$N$196,"&gt;0")</x:f>
        <x:v>8</x:v>
      </x:c>
      <x:c r="F19" s="17" t="n">
        <x:f>IF(E19=0,"",D19/E19)</x:f>
        <x:v>0.375</x:v>
      </x:c>
      <x:c r="G19" s="16" t="n">
        <x:f>COUNTIFS('逐条表现'!$F$7:$F$196,"火天大有",'逐条表现'!$G$7:$G$196,"5m",'逐条表现'!$D$7:$D$196,"焦煤",'逐条表现'!$P$7:$P$196,"&gt;0",'逐条表现'!$Q$7:$Q$196,"&gt;0")</x:f>
        <x:v>2</x:v>
      </x:c>
      <x:c r="H19" s="16" t="n">
        <x:f>COUNTIFS('逐条表现'!$F$7:$F$196,"火天大有",'逐条表现'!$G$7:$G$196,"5m",'逐条表现'!$D$7:$D$196,"焦煤",'逐条表现'!$P$7:$P$196,"&gt;0")</x:f>
        <x:v>8</x:v>
      </x:c>
      <x:c r="I19" s="17" t="n">
        <x:f>IF(H19=0,"",G19/H19)</x:f>
        <x:v>0.25</x:v>
      </x:c>
      <x:c r="J19" s="16" t="n">
        <x:f>COUNTIFS('逐条表现'!$F$7:$F$196,"火天大有",'逐条表现'!$G$7:$G$196,"5m",'逐条表现'!$D$7:$D$196,"焦煤",'逐条表现'!$R$7:$R$196,"&gt;0",'逐条表现'!$S$7:$S$196,"&gt;0")</x:f>
        <x:v>1</x:v>
      </x:c>
      <x:c r="K19" s="16" t="n">
        <x:f>COUNTIFS('逐条表现'!$F$7:$F$196,"火天大有",'逐条表现'!$G$7:$G$196,"5m",'逐条表现'!$D$7:$D$196,"焦煤",'逐条表现'!$R$7:$R$196,"&gt;0")</x:f>
        <x:v>8</x:v>
      </x:c>
      <x:c r="L19" s="17" t="n">
        <x:f>IF(K19=0,"",J19/K19)</x:f>
        <x:v>0.125</x:v>
      </x:c>
      <x:c r="M19" s="5" t="n">
        <x:f>IF(K19=0,"",SUMIFS('逐条表现'!$S$7:$S$196,'逐条表现'!$F$7:$F$196,"火天大有",'逐条表现'!$G$7:$G$196,"5m",'逐条表现'!$D$7:$D$196,"焦煤")/K19)</x:f>
        <x:v>-0.009352788367343878</x:v>
      </x:c>
      <x:c r="N19" s="16" t="n">
        <x:f>C19-K19-COUNTIFS('逐条表现'!$F$7:$F$196,"火天大有",'逐条表现'!$G$7:$G$196,"5m",'逐条表现'!$D$7:$D$196,"焦煤",'逐条表现'!$AK$7:$AK$196,"待观察")</x:f>
        <x:v>5</x:v>
      </x:c>
      <x:c r="O19" s="16" t="n">
        <x:f>COUNTIFS('逐条表现'!$F$7:$F$196,"火天大有",'逐条表现'!$G$7:$G$196,"5m",'逐条表现'!$D$7:$D$196,"焦煤",'逐条表现'!$N$7:$N$196,"&gt;0",'逐条表现'!$O$7:$O$196,"&lt;0")</x:f>
        <x:v>5</x:v>
      </x:c>
      <x:c r="P19" s="16" t="n">
        <x:f>COUNTIFS('逐条表现'!$F$7:$F$196,"火天大有",'逐条表现'!$G$7:$G$196,"5m",'逐条表现'!$D$7:$D$196,"焦煤",'逐条表现'!$N$7:$N$196,"&gt;0",'逐条表现'!$O$7:$O$196,"=0")</x:f>
        <x:v>0</x:v>
      </x:c>
      <x:c r="Q19" s="16" t="n">
        <x:f>COUNTIFS('逐条表现'!$F$7:$F$196,"火天大有",'逐条表现'!$G$7:$G$196,"5m",'逐条表现'!$D$7:$D$196,"焦煤",'逐条表现'!$P$7:$P$196,"&gt;0",'逐条表现'!$Q$7:$Q$196,"&lt;0")</x:f>
        <x:v>6</x:v>
      </x:c>
      <x:c r="R19" s="16" t="n">
        <x:f>COUNTIFS('逐条表现'!$F$7:$F$196,"火天大有",'逐条表现'!$G$7:$G$196,"5m",'逐条表现'!$D$7:$D$196,"焦煤",'逐条表现'!$P$7:$P$196,"&gt;0",'逐条表现'!$Q$7:$Q$196,"=0")</x:f>
        <x:v>0</x:v>
      </x:c>
      <x:c r="S19" s="16" t="n">
        <x:f>COUNTIFS('逐条表现'!$F$7:$F$196,"火天大有",'逐条表现'!$G$7:$G$196,"5m",'逐条表现'!$D$7:$D$196,"焦煤",'逐条表现'!$R$7:$R$196,"&gt;0",'逐条表现'!$S$7:$S$196,"&lt;0")</x:f>
        <x:v>7</x:v>
      </x:c>
      <x:c r="T19" s="16" t="n">
        <x:f>COUNTIFS('逐条表现'!$F$7:$F$196,"火天大有",'逐条表现'!$G$7:$G$196,"5m",'逐条表现'!$D$7:$D$196,"焦煤",'逐条表现'!$R$7:$R$196,"&gt;0",'逐条表现'!$S$7:$S$196,"=0")</x:f>
        <x:v>0</x:v>
      </x:c>
      <x:c r="U19" s="5" t="n">
        <x:f>IF(E19=0,"",SUMIFS('逐条表现'!$O$7:$O$196,'逐条表现'!$F$7:$F$196,"火天大有",'逐条表现'!$G$7:$G$196,"5m",'逐条表现'!$D$7:$D$196,"焦煤")/E19)</x:f>
        <x:v>-0.0009602253366681884</x:v>
      </x:c>
      <x:c r="V19" s="5" t="n">
        <x:f>IF(H19=0,"",SUMIFS('逐条表现'!$Q$7:$Q$196,'逐条表现'!$F$7:$F$196,"火天大有",'逐条表现'!$G$7:$G$196,"5m",'逐条表现'!$D$7:$D$196,"焦煤")/H19)</x:f>
        <x:v>-0.005542718917654066</x:v>
      </x:c>
      <x:c r="W19" s="16" t="n">
        <x:f>C19-K19-N19</x:f>
        <x:v>0</x:v>
      </x:c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  <x:c r="AO19" s="2"/>
      <x:c r="AP19" s="2"/>
    </x:row>
    <x:row r="20" ht="27" customHeight="1">
      <x:c r="A20" s="2" t="str">
        <x:v>pta TA 苏冰</x:v>
      </x:c>
      <x:c r="B20" s="2" t="str">
        <x:v>15m</x:v>
      </x:c>
      <x:c r="C20" s="16" t="n">
        <x:f>COUNTIFS('逐条表现'!$F$7:$F$196,"苏冰",'逐条表现'!$G$7:$G$196,"15m",'逐条表现'!$D$7:$D$196,"pta")</x:f>
        <x:v>3</x:v>
      </x:c>
      <x:c r="D20" s="16" t="n">
        <x:f>COUNTIFS('逐条表现'!$F$7:$F$196,"苏冰",'逐条表现'!$G$7:$G$196,"15m",'逐条表现'!$D$7:$D$196,"pta",'逐条表现'!$N$7:$N$196,"&gt;0",'逐条表现'!$O$7:$O$196,"&gt;0")</x:f>
        <x:v>0</x:v>
      </x:c>
      <x:c r="E20" s="16" t="n">
        <x:f>COUNTIFS('逐条表现'!$F$7:$F$196,"苏冰",'逐条表现'!$G$7:$G$196,"15m",'逐条表现'!$D$7:$D$196,"pta",'逐条表现'!$N$7:$N$196,"&gt;0")</x:f>
        <x:v>0</x:v>
      </x:c>
      <x:c r="F20" s="17" t="str">
        <x:f>IF(E20=0,"",D20/E20)</x:f>
      </x:c>
      <x:c r="G20" s="16" t="n">
        <x:f>COUNTIFS('逐条表现'!$F$7:$F$196,"苏冰",'逐条表现'!$G$7:$G$196,"15m",'逐条表现'!$D$7:$D$196,"pta",'逐条表现'!$P$7:$P$196,"&gt;0",'逐条表现'!$Q$7:$Q$196,"&gt;0")</x:f>
        <x:v>0</x:v>
      </x:c>
      <x:c r="H20" s="16" t="n">
        <x:f>COUNTIFS('逐条表现'!$F$7:$F$196,"苏冰",'逐条表现'!$G$7:$G$196,"15m",'逐条表现'!$D$7:$D$196,"pta",'逐条表现'!$P$7:$P$196,"&gt;0")</x:f>
        <x:v>0</x:v>
      </x:c>
      <x:c r="I20" s="17" t="str">
        <x:f>IF(H20=0,"",G20/H20)</x:f>
      </x:c>
      <x:c r="J20" s="16" t="n">
        <x:f>COUNTIFS('逐条表现'!$F$7:$F$196,"苏冰",'逐条表现'!$G$7:$G$196,"15m",'逐条表现'!$D$7:$D$196,"pta",'逐条表现'!$R$7:$R$196,"&gt;0",'逐条表现'!$S$7:$S$196,"&gt;0")</x:f>
        <x:v>0</x:v>
      </x:c>
      <x:c r="K20" s="16" t="n">
        <x:f>COUNTIFS('逐条表现'!$F$7:$F$196,"苏冰",'逐条表现'!$G$7:$G$196,"15m",'逐条表现'!$D$7:$D$196,"pta",'逐条表现'!$R$7:$R$196,"&gt;0")</x:f>
        <x:v>0</x:v>
      </x:c>
      <x:c r="L20" s="17" t="str">
        <x:f>IF(K20=0,"",J20/K20)</x:f>
      </x:c>
      <x:c r="M20" s="5" t="str">
        <x:f>IF(K20=0,"",SUMIFS('逐条表现'!$S$7:$S$196,'逐条表现'!$F$7:$F$196,"苏冰",'逐条表现'!$G$7:$G$196,"15m",'逐条表现'!$D$7:$D$196,"pta")/K20)</x:f>
      </x:c>
      <x:c r="N20" s="16" t="n">
        <x:f>C20-K20-COUNTIFS('逐条表现'!$F$7:$F$196,"苏冰",'逐条表现'!$G$7:$G$196,"15m",'逐条表现'!$D$7:$D$196,"pta",'逐条表现'!$AK$7:$AK$196,"待观察")</x:f>
        <x:v>3</x:v>
      </x:c>
      <x:c r="O20" s="16" t="n">
        <x:f>COUNTIFS('逐条表现'!$F$7:$F$196,"苏冰",'逐条表现'!$G$7:$G$196,"15m",'逐条表现'!$D$7:$D$196,"pta",'逐条表现'!$N$7:$N$196,"&gt;0",'逐条表现'!$O$7:$O$196,"&lt;0")</x:f>
        <x:v>0</x:v>
      </x:c>
      <x:c r="P20" s="16" t="n">
        <x:f>COUNTIFS('逐条表现'!$F$7:$F$196,"苏冰",'逐条表现'!$G$7:$G$196,"15m",'逐条表现'!$D$7:$D$196,"pta",'逐条表现'!$N$7:$N$196,"&gt;0",'逐条表现'!$O$7:$O$196,"=0")</x:f>
        <x:v>0</x:v>
      </x:c>
      <x:c r="Q20" s="16" t="n">
        <x:f>COUNTIFS('逐条表现'!$F$7:$F$196,"苏冰",'逐条表现'!$G$7:$G$196,"15m",'逐条表现'!$D$7:$D$196,"pta",'逐条表现'!$P$7:$P$196,"&gt;0",'逐条表现'!$Q$7:$Q$196,"&lt;0")</x:f>
        <x:v>0</x:v>
      </x:c>
      <x:c r="R20" s="16" t="n">
        <x:f>COUNTIFS('逐条表现'!$F$7:$F$196,"苏冰",'逐条表现'!$G$7:$G$196,"15m",'逐条表现'!$D$7:$D$196,"pta",'逐条表现'!$P$7:$P$196,"&gt;0",'逐条表现'!$Q$7:$Q$196,"=0")</x:f>
        <x:v>0</x:v>
      </x:c>
      <x:c r="S20" s="16" t="n">
        <x:f>COUNTIFS('逐条表现'!$F$7:$F$196,"苏冰",'逐条表现'!$G$7:$G$196,"15m",'逐条表现'!$D$7:$D$196,"pta",'逐条表现'!$R$7:$R$196,"&gt;0",'逐条表现'!$S$7:$S$196,"&lt;0")</x:f>
        <x:v>0</x:v>
      </x:c>
      <x:c r="T20" s="16" t="n">
        <x:f>COUNTIFS('逐条表现'!$F$7:$F$196,"苏冰",'逐条表现'!$G$7:$G$196,"15m",'逐条表现'!$D$7:$D$196,"pta",'逐条表现'!$R$7:$R$196,"&gt;0",'逐条表现'!$S$7:$S$196,"=0")</x:f>
        <x:v>0</x:v>
      </x:c>
      <x:c r="U20" s="5" t="str">
        <x:f>IF(E20=0,"",SUMIFS('逐条表现'!$O$7:$O$196,'逐条表现'!$F$7:$F$196,"苏冰",'逐条表现'!$G$7:$G$196,"15m",'逐条表现'!$D$7:$D$196,"pta")/E20)</x:f>
      </x:c>
      <x:c r="V20" s="5" t="str">
        <x:f>IF(H20=0,"",SUMIFS('逐条表现'!$Q$7:$Q$196,'逐条表现'!$F$7:$F$196,"苏冰",'逐条表现'!$G$7:$G$196,"15m",'逐条表现'!$D$7:$D$196,"pta")/H20)</x:f>
      </x:c>
      <x:c r="W20" s="16" t="n">
        <x:f>C20-K20-N20</x:f>
        <x:v>0</x:v>
      </x:c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  <x:c r="AO20" s="2"/>
      <x:c r="AP20" s="2"/>
    </x:row>
    <x:row r="21" ht="27" customHeight="1">
      <x:c r="A21" s="2" t="str">
        <x:v>pvc V 苏冰</x:v>
      </x:c>
      <x:c r="B21" s="2" t="str">
        <x:v>15m</x:v>
      </x:c>
      <x:c r="C21" s="16" t="n">
        <x:f>COUNTIFS('逐条表现'!$F$7:$F$196,"苏冰",'逐条表现'!$G$7:$G$196,"15m",'逐条表现'!$D$7:$D$196,"pvc")</x:f>
        <x:v>6</x:v>
      </x:c>
      <x:c r="D21" s="16" t="n">
        <x:f>COUNTIFS('逐条表现'!$F$7:$F$196,"苏冰",'逐条表现'!$G$7:$G$196,"15m",'逐条表现'!$D$7:$D$196,"pvc",'逐条表现'!$N$7:$N$196,"&gt;0",'逐条表现'!$O$7:$O$196,"&gt;0")</x:f>
        <x:v>0</x:v>
      </x:c>
      <x:c r="E21" s="16" t="n">
        <x:f>COUNTIFS('逐条表现'!$F$7:$F$196,"苏冰",'逐条表现'!$G$7:$G$196,"15m",'逐条表现'!$D$7:$D$196,"pvc",'逐条表现'!$N$7:$N$196,"&gt;0")</x:f>
        <x:v>1</x:v>
      </x:c>
      <x:c r="F21" s="17" t="n">
        <x:f>IF(E21=0,"",D21/E21)</x:f>
        <x:v>0</x:v>
      </x:c>
      <x:c r="G21" s="16" t="n">
        <x:f>COUNTIFS('逐条表现'!$F$7:$F$196,"苏冰",'逐条表现'!$G$7:$G$196,"15m",'逐条表现'!$D$7:$D$196,"pvc",'逐条表现'!$P$7:$P$196,"&gt;0",'逐条表现'!$Q$7:$Q$196,"&gt;0")</x:f>
        <x:v>0</x:v>
      </x:c>
      <x:c r="H21" s="16" t="n">
        <x:f>COUNTIFS('逐条表现'!$F$7:$F$196,"苏冰",'逐条表现'!$G$7:$G$196,"15m",'逐条表现'!$D$7:$D$196,"pvc",'逐条表现'!$P$7:$P$196,"&gt;0")</x:f>
        <x:v>1</x:v>
      </x:c>
      <x:c r="I21" s="17" t="n">
        <x:f>IF(H21=0,"",G21/H21)</x:f>
        <x:v>0</x:v>
      </x:c>
      <x:c r="J21" s="16" t="n">
        <x:f>COUNTIFS('逐条表现'!$F$7:$F$196,"苏冰",'逐条表现'!$G$7:$G$196,"15m",'逐条表现'!$D$7:$D$196,"pvc",'逐条表现'!$R$7:$R$196,"&gt;0",'逐条表现'!$S$7:$S$196,"&gt;0")</x:f>
        <x:v>1</x:v>
      </x:c>
      <x:c r="K21" s="16" t="n">
        <x:f>COUNTIFS('逐条表现'!$F$7:$F$196,"苏冰",'逐条表现'!$G$7:$G$196,"15m",'逐条表现'!$D$7:$D$196,"pvc",'逐条表现'!$R$7:$R$196,"&gt;0")</x:f>
        <x:v>1</x:v>
      </x:c>
      <x:c r="L21" s="17" t="n">
        <x:f>IF(K21=0,"",J21/K21)</x:f>
        <x:v>1</x:v>
      </x:c>
      <x:c r="M21" s="5" t="n">
        <x:f>IF(K21=0,"",SUMIFS('逐条表现'!$S$7:$S$196,'逐条表现'!$F$7:$F$196,"苏冰",'逐条表现'!$G$7:$G$196,"15m",'逐条表现'!$D$7:$D$196,"pvc")/K21)</x:f>
        <x:v>0.003960396039603964</x:v>
      </x:c>
      <x:c r="N21" s="16" t="n">
        <x:f>C21-K21-COUNTIFS('逐条表现'!$F$7:$F$196,"苏冰",'逐条表现'!$G$7:$G$196,"15m",'逐条表现'!$D$7:$D$196,"pvc",'逐条表现'!$AK$7:$AK$196,"待观察")</x:f>
        <x:v>5</x:v>
      </x:c>
      <x:c r="O21" s="16" t="n">
        <x:f>COUNTIFS('逐条表现'!$F$7:$F$196,"苏冰",'逐条表现'!$G$7:$G$196,"15m",'逐条表现'!$D$7:$D$196,"pvc",'逐条表现'!$N$7:$N$196,"&gt;0",'逐条表现'!$O$7:$O$196,"&lt;0")</x:f>
        <x:v>1</x:v>
      </x:c>
      <x:c r="P21" s="16" t="n">
        <x:f>COUNTIFS('逐条表现'!$F$7:$F$196,"苏冰",'逐条表现'!$G$7:$G$196,"15m",'逐条表现'!$D$7:$D$196,"pvc",'逐条表现'!$N$7:$N$196,"&gt;0",'逐条表现'!$O$7:$O$196,"=0")</x:f>
        <x:v>0</x:v>
      </x:c>
      <x:c r="Q21" s="16" t="n">
        <x:f>COUNTIFS('逐条表现'!$F$7:$F$196,"苏冰",'逐条表现'!$G$7:$G$196,"15m",'逐条表现'!$D$7:$D$196,"pvc",'逐条表现'!$P$7:$P$196,"&gt;0",'逐条表现'!$Q$7:$Q$196,"&lt;0")</x:f>
        <x:v>1</x:v>
      </x:c>
      <x:c r="R21" s="16" t="n">
        <x:f>COUNTIFS('逐条表现'!$F$7:$F$196,"苏冰",'逐条表现'!$G$7:$G$196,"15m",'逐条表现'!$D$7:$D$196,"pvc",'逐条表现'!$P$7:$P$196,"&gt;0",'逐条表现'!$Q$7:$Q$196,"=0")</x:f>
        <x:v>0</x:v>
      </x:c>
      <x:c r="S21" s="16" t="n">
        <x:f>COUNTIFS('逐条表现'!$F$7:$F$196,"苏冰",'逐条表现'!$G$7:$G$196,"15m",'逐条表现'!$D$7:$D$196,"pvc",'逐条表现'!$R$7:$R$196,"&gt;0",'逐条表现'!$S$7:$S$196,"&lt;0")</x:f>
        <x:v>0</x:v>
      </x:c>
      <x:c r="T21" s="16" t="n">
        <x:f>COUNTIFS('逐条表现'!$F$7:$F$196,"苏冰",'逐条表现'!$G$7:$G$196,"15m",'逐条表现'!$D$7:$D$196,"pvc",'逐条表现'!$R$7:$R$196,"&gt;0",'逐条表现'!$S$7:$S$196,"=0")</x:f>
        <x:v>0</x:v>
      </x:c>
      <x:c r="U21" s="5" t="n">
        <x:f>IF(E21=0,"",SUMIFS('逐条表现'!$O$7:$O$196,'逐条表现'!$F$7:$F$196,"苏冰",'逐条表现'!$G$7:$G$196,"15m",'逐条表现'!$D$7:$D$196,"pvc")/E21)</x:f>
        <x:v>-0.003960396039603964</x:v>
      </x:c>
      <x:c r="V21" s="5" t="n">
        <x:f>IF(H21=0,"",SUMIFS('逐条表现'!$Q$7:$Q$196,'逐条表现'!$F$7:$F$196,"苏冰",'逐条表现'!$G$7:$G$196,"15m",'逐条表现'!$D$7:$D$196,"pvc")/H21)</x:f>
        <x:v>-0.0001980198019801982</x:v>
      </x:c>
      <x:c r="W21" s="16" t="n">
        <x:f>C21-K21-N21</x:f>
        <x:v>0</x:v>
      </x:c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  <x:c r="AP21" s="2"/>
    </x:row>
    <x:row r="22" ht="27" customHeight="1">
      <x:c r="A22" s="2" t="str">
        <x:v>不锈钢 SS 苏冰</x:v>
      </x:c>
      <x:c r="B22" s="2" t="str">
        <x:v>15m</x:v>
      </x:c>
      <x:c r="C22" s="16" t="n">
        <x:f>COUNTIFS('逐条表现'!$F$7:$F$196,"苏冰",'逐条表现'!$G$7:$G$196,"15m",'逐条表现'!$D$7:$D$196,"不锈钢")</x:f>
        <x:v>3</x:v>
      </x:c>
      <x:c r="D22" s="16" t="n">
        <x:f>COUNTIFS('逐条表现'!$F$7:$F$196,"苏冰",'逐条表现'!$G$7:$G$196,"15m",'逐条表现'!$D$7:$D$196,"不锈钢",'逐条表现'!$N$7:$N$196,"&gt;0",'逐条表现'!$O$7:$O$196,"&gt;0")</x:f>
        <x:v>0</x:v>
      </x:c>
      <x:c r="E22" s="16" t="n">
        <x:f>COUNTIFS('逐条表现'!$F$7:$F$196,"苏冰",'逐条表现'!$G$7:$G$196,"15m",'逐条表现'!$D$7:$D$196,"不锈钢",'逐条表现'!$N$7:$N$196,"&gt;0")</x:f>
        <x:v>0</x:v>
      </x:c>
      <x:c r="F22" s="17" t="str">
        <x:f>IF(E22=0,"",D22/E22)</x:f>
      </x:c>
      <x:c r="G22" s="16" t="n">
        <x:f>COUNTIFS('逐条表现'!$F$7:$F$196,"苏冰",'逐条表现'!$G$7:$G$196,"15m",'逐条表现'!$D$7:$D$196,"不锈钢",'逐条表现'!$P$7:$P$196,"&gt;0",'逐条表现'!$Q$7:$Q$196,"&gt;0")</x:f>
        <x:v>0</x:v>
      </x:c>
      <x:c r="H22" s="16" t="n">
        <x:f>COUNTIFS('逐条表现'!$F$7:$F$196,"苏冰",'逐条表现'!$G$7:$G$196,"15m",'逐条表现'!$D$7:$D$196,"不锈钢",'逐条表现'!$P$7:$P$196,"&gt;0")</x:f>
        <x:v>0</x:v>
      </x:c>
      <x:c r="I22" s="17" t="str">
        <x:f>IF(H22=0,"",G22/H22)</x:f>
      </x:c>
      <x:c r="J22" s="16" t="n">
        <x:f>COUNTIFS('逐条表现'!$F$7:$F$196,"苏冰",'逐条表现'!$G$7:$G$196,"15m",'逐条表现'!$D$7:$D$196,"不锈钢",'逐条表现'!$R$7:$R$196,"&gt;0",'逐条表现'!$S$7:$S$196,"&gt;0")</x:f>
        <x:v>0</x:v>
      </x:c>
      <x:c r="K22" s="16" t="n">
        <x:f>COUNTIFS('逐条表现'!$F$7:$F$196,"苏冰",'逐条表现'!$G$7:$G$196,"15m",'逐条表现'!$D$7:$D$196,"不锈钢",'逐条表现'!$R$7:$R$196,"&gt;0")</x:f>
        <x:v>0</x:v>
      </x:c>
      <x:c r="L22" s="17" t="str">
        <x:f>IF(K22=0,"",J22/K22)</x:f>
      </x:c>
      <x:c r="M22" s="5" t="str">
        <x:f>IF(K22=0,"",SUMIFS('逐条表现'!$S$7:$S$196,'逐条表现'!$F$7:$F$196,"苏冰",'逐条表现'!$G$7:$G$196,"15m",'逐条表现'!$D$7:$D$196,"不锈钢")/K22)</x:f>
      </x:c>
      <x:c r="N22" s="16" t="n">
        <x:f>C22-K22-COUNTIFS('逐条表现'!$F$7:$F$196,"苏冰",'逐条表现'!$G$7:$G$196,"15m",'逐条表现'!$D$7:$D$196,"不锈钢",'逐条表现'!$AK$7:$AK$196,"待观察")</x:f>
        <x:v>3</x:v>
      </x:c>
      <x:c r="O22" s="16" t="n">
        <x:f>COUNTIFS('逐条表现'!$F$7:$F$196,"苏冰",'逐条表现'!$G$7:$G$196,"15m",'逐条表现'!$D$7:$D$196,"不锈钢",'逐条表现'!$N$7:$N$196,"&gt;0",'逐条表现'!$O$7:$O$196,"&lt;0")</x:f>
        <x:v>0</x:v>
      </x:c>
      <x:c r="P22" s="16" t="n">
        <x:f>COUNTIFS('逐条表现'!$F$7:$F$196,"苏冰",'逐条表现'!$G$7:$G$196,"15m",'逐条表现'!$D$7:$D$196,"不锈钢",'逐条表现'!$N$7:$N$196,"&gt;0",'逐条表现'!$O$7:$O$196,"=0")</x:f>
        <x:v>0</x:v>
      </x:c>
      <x:c r="Q22" s="16" t="n">
        <x:f>COUNTIFS('逐条表现'!$F$7:$F$196,"苏冰",'逐条表现'!$G$7:$G$196,"15m",'逐条表现'!$D$7:$D$196,"不锈钢",'逐条表现'!$P$7:$P$196,"&gt;0",'逐条表现'!$Q$7:$Q$196,"&lt;0")</x:f>
        <x:v>0</x:v>
      </x:c>
      <x:c r="R22" s="16" t="n">
        <x:f>COUNTIFS('逐条表现'!$F$7:$F$196,"苏冰",'逐条表现'!$G$7:$G$196,"15m",'逐条表现'!$D$7:$D$196,"不锈钢",'逐条表现'!$P$7:$P$196,"&gt;0",'逐条表现'!$Q$7:$Q$196,"=0")</x:f>
        <x:v>0</x:v>
      </x:c>
      <x:c r="S22" s="16" t="n">
        <x:f>COUNTIFS('逐条表现'!$F$7:$F$196,"苏冰",'逐条表现'!$G$7:$G$196,"15m",'逐条表现'!$D$7:$D$196,"不锈钢",'逐条表现'!$R$7:$R$196,"&gt;0",'逐条表现'!$S$7:$S$196,"&lt;0")</x:f>
        <x:v>0</x:v>
      </x:c>
      <x:c r="T22" s="16" t="n">
        <x:f>COUNTIFS('逐条表现'!$F$7:$F$196,"苏冰",'逐条表现'!$G$7:$G$196,"15m",'逐条表现'!$D$7:$D$196,"不锈钢",'逐条表现'!$R$7:$R$196,"&gt;0",'逐条表现'!$S$7:$S$196,"=0")</x:f>
        <x:v>0</x:v>
      </x:c>
      <x:c r="U22" s="5" t="str">
        <x:f>IF(E22=0,"",SUMIFS('逐条表现'!$O$7:$O$196,'逐条表现'!$F$7:$F$196,"苏冰",'逐条表现'!$G$7:$G$196,"15m",'逐条表现'!$D$7:$D$196,"不锈钢")/E22)</x:f>
      </x:c>
      <x:c r="V22" s="5" t="str">
        <x:f>IF(H22=0,"",SUMIFS('逐条表现'!$Q$7:$Q$196,'逐条表现'!$F$7:$F$196,"苏冰",'逐条表现'!$G$7:$G$196,"15m",'逐条表现'!$D$7:$D$196,"不锈钢")/H22)</x:f>
      </x:c>
      <x:c r="W22" s="16" t="n">
        <x:f>C22-K22-N22</x:f>
        <x:v>0</x:v>
      </x:c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</x:row>
    <x:row r="23" ht="27" customHeight="1">
      <x:c r="A23" s="2" t="str">
        <x:v>丙烯 PR 苏冰</x:v>
      </x:c>
      <x:c r="B23" s="2" t="str">
        <x:v>15m</x:v>
      </x:c>
      <x:c r="C23" s="16" t="n">
        <x:f>COUNTIFS('逐条表现'!$F$7:$F$196,"苏冰",'逐条表现'!$G$7:$G$196,"15m",'逐条表现'!$D$7:$D$196,"丙烯")</x:f>
        <x:v>3</x:v>
      </x:c>
      <x:c r="D23" s="16" t="n">
        <x:f>COUNTIFS('逐条表现'!$F$7:$F$196,"苏冰",'逐条表现'!$G$7:$G$196,"15m",'逐条表现'!$D$7:$D$196,"丙烯",'逐条表现'!$N$7:$N$196,"&gt;0",'逐条表现'!$O$7:$O$196,"&gt;0")</x:f>
        <x:v>0</x:v>
      </x:c>
      <x:c r="E23" s="16" t="n">
        <x:f>COUNTIFS('逐条表现'!$F$7:$F$196,"苏冰",'逐条表现'!$G$7:$G$196,"15m",'逐条表现'!$D$7:$D$196,"丙烯",'逐条表现'!$N$7:$N$196,"&gt;0")</x:f>
        <x:v>1</x:v>
      </x:c>
      <x:c r="F23" s="17" t="n">
        <x:f>IF(E23=0,"",D23/E23)</x:f>
        <x:v>0</x:v>
      </x:c>
      <x:c r="G23" s="16" t="n">
        <x:f>COUNTIFS('逐条表现'!$F$7:$F$196,"苏冰",'逐条表现'!$G$7:$G$196,"15m",'逐条表现'!$D$7:$D$196,"丙烯",'逐条表现'!$P$7:$P$196,"&gt;0",'逐条表现'!$Q$7:$Q$196,"&gt;0")</x:f>
        <x:v>1</x:v>
      </x:c>
      <x:c r="H23" s="16" t="n">
        <x:f>COUNTIFS('逐条表现'!$F$7:$F$196,"苏冰",'逐条表现'!$G$7:$G$196,"15m",'逐条表现'!$D$7:$D$196,"丙烯",'逐条表现'!$P$7:$P$196,"&gt;0")</x:f>
        <x:v>1</x:v>
      </x:c>
      <x:c r="I23" s="17" t="n">
        <x:f>IF(H23=0,"",G23/H23)</x:f>
        <x:v>1</x:v>
      </x:c>
      <x:c r="J23" s="16" t="n">
        <x:f>COUNTIFS('逐条表现'!$F$7:$F$196,"苏冰",'逐条表现'!$G$7:$G$196,"15m",'逐条表现'!$D$7:$D$196,"丙烯",'逐条表现'!$R$7:$R$196,"&gt;0",'逐条表现'!$S$7:$S$196,"&gt;0")</x:f>
        <x:v>1</x:v>
      </x:c>
      <x:c r="K23" s="16" t="n">
        <x:f>COUNTIFS('逐条表现'!$F$7:$F$196,"苏冰",'逐条表现'!$G$7:$G$196,"15m",'逐条表现'!$D$7:$D$196,"丙烯",'逐条表现'!$R$7:$R$196,"&gt;0")</x:f>
        <x:v>1</x:v>
      </x:c>
      <x:c r="L23" s="17" t="n">
        <x:f>IF(K23=0,"",J23/K23)</x:f>
        <x:v>1</x:v>
      </x:c>
      <x:c r="M23" s="5" t="n">
        <x:f>IF(K23=0,"",SUMIFS('逐条表现'!$S$7:$S$196,'逐条表现'!$F$7:$F$196,"苏冰",'逐条表现'!$G$7:$G$196,"15m",'逐条表现'!$D$7:$D$196,"丙烯")/K23)</x:f>
        <x:v>0.007718034473887414</x:v>
      </x:c>
      <x:c r="N23" s="16" t="n">
        <x:f>C23-K23-COUNTIFS('逐条表现'!$F$7:$F$196,"苏冰",'逐条表现'!$G$7:$G$196,"15m",'逐条表现'!$D$7:$D$196,"丙烯",'逐条表现'!$AK$7:$AK$196,"待观察")</x:f>
        <x:v>2</x:v>
      </x:c>
      <x:c r="O23" s="16" t="n">
        <x:f>COUNTIFS('逐条表现'!$F$7:$F$196,"苏冰",'逐条表现'!$G$7:$G$196,"15m",'逐条表现'!$D$7:$D$196,"丙烯",'逐条表现'!$N$7:$N$196,"&gt;0",'逐条表现'!$O$7:$O$196,"&lt;0")</x:f>
        <x:v>1</x:v>
      </x:c>
      <x:c r="P23" s="16" t="n">
        <x:f>COUNTIFS('逐条表现'!$F$7:$F$196,"苏冰",'逐条表现'!$G$7:$G$196,"15m",'逐条表现'!$D$7:$D$196,"丙烯",'逐条表现'!$N$7:$N$196,"&gt;0",'逐条表现'!$O$7:$O$196,"=0")</x:f>
        <x:v>0</x:v>
      </x:c>
      <x:c r="Q23" s="16" t="n">
        <x:f>COUNTIFS('逐条表现'!$F$7:$F$196,"苏冰",'逐条表现'!$G$7:$G$196,"15m",'逐条表现'!$D$7:$D$196,"丙烯",'逐条表现'!$P$7:$P$196,"&gt;0",'逐条表现'!$Q$7:$Q$196,"&lt;0")</x:f>
        <x:v>0</x:v>
      </x:c>
      <x:c r="R23" s="16" t="n">
        <x:f>COUNTIFS('逐条表现'!$F$7:$F$196,"苏冰",'逐条表现'!$G$7:$G$196,"15m",'逐条表现'!$D$7:$D$196,"丙烯",'逐条表现'!$P$7:$P$196,"&gt;0",'逐条表现'!$Q$7:$Q$196,"=0")</x:f>
        <x:v>0</x:v>
      </x:c>
      <x:c r="S23" s="16" t="n">
        <x:f>COUNTIFS('逐条表现'!$F$7:$F$196,"苏冰",'逐条表现'!$G$7:$G$196,"15m",'逐条表现'!$D$7:$D$196,"丙烯",'逐条表现'!$R$7:$R$196,"&gt;0",'逐条表现'!$S$7:$S$196,"&lt;0")</x:f>
        <x:v>0</x:v>
      </x:c>
      <x:c r="T23" s="16" t="n">
        <x:f>COUNTIFS('逐条表现'!$F$7:$F$196,"苏冰",'逐条表现'!$G$7:$G$196,"15m",'逐条表现'!$D$7:$D$196,"丙烯",'逐条表现'!$R$7:$R$196,"&gt;0",'逐条表现'!$S$7:$S$196,"=0")</x:f>
        <x:v>0</x:v>
      </x:c>
      <x:c r="U23" s="5" t="n">
        <x:f>IF(E23=0,"",SUMIFS('逐条表现'!$O$7:$O$196,'逐条表现'!$F$7:$F$196,"苏冰",'逐条表现'!$G$7:$G$196,"15m",'逐条表现'!$D$7:$D$196,"丙烯")/E23)</x:f>
        <x:v>-0.000771803447388697</x:v>
      </x:c>
      <x:c r="V23" s="5" t="n">
        <x:f>IF(H23=0,"",SUMIFS('逐条表现'!$Q$7:$Q$196,'逐条表现'!$F$7:$F$196,"苏冰",'逐条表现'!$G$7:$G$196,"15m",'逐条表现'!$D$7:$D$196,"丙烯")/H23)</x:f>
        <x:v>0.0028299459737586297</x:v>
      </x:c>
      <x:c r="W23" s="16" t="n">
        <x:f>C23-K23-N23</x:f>
        <x:v>0</x:v>
      </x:c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  <x:c r="AP23" s="2"/>
    </x:row>
    <x:row r="24" ht="27" customHeight="1">
      <x:c r="A24" s="2" t="str">
        <x:v>乙二醇 EG 苏冰</x:v>
      </x:c>
      <x:c r="B24" s="2" t="str">
        <x:v>15m</x:v>
      </x:c>
      <x:c r="C24" s="16" t="n">
        <x:f>COUNTIFS('逐条表现'!$F$7:$F$196,"苏冰",'逐条表现'!$G$7:$G$196,"15m",'逐条表现'!$D$7:$D$196,"乙二醇")</x:f>
        <x:v>6</x:v>
      </x:c>
      <x:c r="D24" s="16" t="n">
        <x:f>COUNTIFS('逐条表现'!$F$7:$F$196,"苏冰",'逐条表现'!$G$7:$G$196,"15m",'逐条表现'!$D$7:$D$196,"乙二醇",'逐条表现'!$N$7:$N$196,"&gt;0",'逐条表现'!$O$7:$O$196,"&gt;0")</x:f>
        <x:v>1</x:v>
      </x:c>
      <x:c r="E24" s="16" t="n">
        <x:f>COUNTIFS('逐条表现'!$F$7:$F$196,"苏冰",'逐条表现'!$G$7:$G$196,"15m",'逐条表现'!$D$7:$D$196,"乙二醇",'逐条表现'!$N$7:$N$196,"&gt;0")</x:f>
        <x:v>2</x:v>
      </x:c>
      <x:c r="F24" s="17" t="n">
        <x:f>IF(E24=0,"",D24/E24)</x:f>
        <x:v>0.5</x:v>
      </x:c>
      <x:c r="G24" s="16" t="n">
        <x:f>COUNTIFS('逐条表现'!$F$7:$F$196,"苏冰",'逐条表现'!$G$7:$G$196,"15m",'逐条表现'!$D$7:$D$196,"乙二醇",'逐条表现'!$P$7:$P$196,"&gt;0",'逐条表现'!$Q$7:$Q$196,"&gt;0")</x:f>
        <x:v>1</x:v>
      </x:c>
      <x:c r="H24" s="16" t="n">
        <x:f>COUNTIFS('逐条表现'!$F$7:$F$196,"苏冰",'逐条表现'!$G$7:$G$196,"15m",'逐条表现'!$D$7:$D$196,"乙二醇",'逐条表现'!$P$7:$P$196,"&gt;0")</x:f>
        <x:v>2</x:v>
      </x:c>
      <x:c r="I24" s="17" t="n">
        <x:f>IF(H24=0,"",G24/H24)</x:f>
        <x:v>0.5</x:v>
      </x:c>
      <x:c r="J24" s="16" t="n">
        <x:f>COUNTIFS('逐条表现'!$F$7:$F$196,"苏冰",'逐条表现'!$G$7:$G$196,"15m",'逐条表现'!$D$7:$D$196,"乙二醇",'逐条表现'!$R$7:$R$196,"&gt;0",'逐条表现'!$S$7:$S$196,"&gt;0")</x:f>
        <x:v>1</x:v>
      </x:c>
      <x:c r="K24" s="16" t="n">
        <x:f>COUNTIFS('逐条表现'!$F$7:$F$196,"苏冰",'逐条表现'!$G$7:$G$196,"15m",'逐条表现'!$D$7:$D$196,"乙二醇",'逐条表现'!$R$7:$R$196,"&gt;0")</x:f>
        <x:v>2</x:v>
      </x:c>
      <x:c r="L24" s="17" t="n">
        <x:f>IF(K24=0,"",J24/K24)</x:f>
        <x:v>0.5</x:v>
      </x:c>
      <x:c r="M24" s="5" t="n">
        <x:f>IF(K24=0,"",SUMIFS('逐条表现'!$S$7:$S$196,'逐条表现'!$F$7:$F$196,"苏冰",'逐条表现'!$G$7:$G$196,"15m",'逐条表现'!$D$7:$D$196,"乙二醇")/K24)</x:f>
        <x:v>-0.007922490861526521</x:v>
      </x:c>
      <x:c r="N24" s="16" t="n">
        <x:f>C24-K24-COUNTIFS('逐条表现'!$F$7:$F$196,"苏冰",'逐条表现'!$G$7:$G$196,"15m",'逐条表现'!$D$7:$D$196,"乙二醇",'逐条表现'!$AK$7:$AK$196,"待观察")</x:f>
        <x:v>4</x:v>
      </x:c>
      <x:c r="O24" s="16" t="n">
        <x:f>COUNTIFS('逐条表现'!$F$7:$F$196,"苏冰",'逐条表现'!$G$7:$G$196,"15m",'逐条表现'!$D$7:$D$196,"乙二醇",'逐条表现'!$N$7:$N$196,"&gt;0",'逐条表现'!$O$7:$O$196,"&lt;0")</x:f>
        <x:v>1</x:v>
      </x:c>
      <x:c r="P24" s="16" t="n">
        <x:f>COUNTIFS('逐条表现'!$F$7:$F$196,"苏冰",'逐条表现'!$G$7:$G$196,"15m",'逐条表现'!$D$7:$D$196,"乙二醇",'逐条表现'!$N$7:$N$196,"&gt;0",'逐条表现'!$O$7:$O$196,"=0")</x:f>
        <x:v>0</x:v>
      </x:c>
      <x:c r="Q24" s="16" t="n">
        <x:f>COUNTIFS('逐条表现'!$F$7:$F$196,"苏冰",'逐条表现'!$G$7:$G$196,"15m",'逐条表现'!$D$7:$D$196,"乙二醇",'逐条表现'!$P$7:$P$196,"&gt;0",'逐条表现'!$Q$7:$Q$196,"&lt;0")</x:f>
        <x:v>1</x:v>
      </x:c>
      <x:c r="R24" s="16" t="n">
        <x:f>COUNTIFS('逐条表现'!$F$7:$F$196,"苏冰",'逐条表现'!$G$7:$G$196,"15m",'逐条表现'!$D$7:$D$196,"乙二醇",'逐条表现'!$P$7:$P$196,"&gt;0",'逐条表现'!$Q$7:$Q$196,"=0")</x:f>
        <x:v>0</x:v>
      </x:c>
      <x:c r="S24" s="16" t="n">
        <x:f>COUNTIFS('逐条表现'!$F$7:$F$196,"苏冰",'逐条表现'!$G$7:$G$196,"15m",'逐条表现'!$D$7:$D$196,"乙二醇",'逐条表现'!$R$7:$R$196,"&gt;0",'逐条表现'!$S$7:$S$196,"&lt;0")</x:f>
        <x:v>1</x:v>
      </x:c>
      <x:c r="T24" s="16" t="n">
        <x:f>COUNTIFS('逐条表现'!$F$7:$F$196,"苏冰",'逐条表现'!$G$7:$G$196,"15m",'逐条表现'!$D$7:$D$196,"乙二醇",'逐条表现'!$R$7:$R$196,"&gt;0",'逐条表现'!$S$7:$S$196,"=0")</x:f>
        <x:v>0</x:v>
      </x:c>
      <x:c r="U24" s="5" t="n">
        <x:f>IF(E24=0,"",SUMIFS('逐条表现'!$O$7:$O$196,'逐条表现'!$F$7:$F$196,"苏冰",'逐条表现'!$G$7:$G$196,"15m",'逐条表现'!$D$7:$D$196,"乙二醇")/E24)</x:f>
        <x:v>0.0005598515886274802</x:v>
      </x:c>
      <x:c r="V24" s="5" t="n">
        <x:f>IF(H24=0,"",SUMIFS('逐条表现'!$Q$7:$Q$196,'逐条表现'!$F$7:$F$196,"苏冰",'逐条表现'!$G$7:$G$196,"15m",'逐条表现'!$D$7:$D$196,"乙二醇")/H24)</x:f>
        <x:v>-0.006835480638268998</x:v>
      </x:c>
      <x:c r="W24" s="16" t="n">
        <x:f>C24-K24-N24</x:f>
        <x:v>0</x:v>
      </x:c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  <x:c r="AP24" s="2"/>
    </x:row>
    <x:row r="25" ht="27" customHeight="1">
      <x:c r="A25" s="2" t="str">
        <x:v>原油 SC 苏冰</x:v>
      </x:c>
      <x:c r="B25" s="2" t="str">
        <x:v>15m</x:v>
      </x:c>
      <x:c r="C25" s="16" t="n">
        <x:f>COUNTIFS('逐条表现'!$F$7:$F$196,"苏冰",'逐条表现'!$G$7:$G$196,"15m",'逐条表现'!$D$7:$D$196,"原油")</x:f>
        <x:v>5</x:v>
      </x:c>
      <x:c r="D25" s="16" t="n">
        <x:f>COUNTIFS('逐条表现'!$F$7:$F$196,"苏冰",'逐条表现'!$G$7:$G$196,"15m",'逐条表现'!$D$7:$D$196,"原油",'逐条表现'!$N$7:$N$196,"&gt;0",'逐条表现'!$O$7:$O$196,"&gt;0")</x:f>
        <x:v>0</x:v>
      </x:c>
      <x:c r="E25" s="16" t="n">
        <x:f>COUNTIFS('逐条表现'!$F$7:$F$196,"苏冰",'逐条表现'!$G$7:$G$196,"15m",'逐条表现'!$D$7:$D$196,"原油",'逐条表现'!$N$7:$N$196,"&gt;0")</x:f>
        <x:v>3</x:v>
      </x:c>
      <x:c r="F25" s="17" t="n">
        <x:f>IF(E25=0,"",D25/E25)</x:f>
        <x:v>0</x:v>
      </x:c>
      <x:c r="G25" s="16" t="n">
        <x:f>COUNTIFS('逐条表现'!$F$7:$F$196,"苏冰",'逐条表现'!$G$7:$G$196,"15m",'逐条表现'!$D$7:$D$196,"原油",'逐条表现'!$P$7:$P$196,"&gt;0",'逐条表现'!$Q$7:$Q$196,"&gt;0")</x:f>
        <x:v>1</x:v>
      </x:c>
      <x:c r="H25" s="16" t="n">
        <x:f>COUNTIFS('逐条表现'!$F$7:$F$196,"苏冰",'逐条表现'!$G$7:$G$196,"15m",'逐条表现'!$D$7:$D$196,"原油",'逐条表现'!$P$7:$P$196,"&gt;0")</x:f>
        <x:v>3</x:v>
      </x:c>
      <x:c r="I25" s="17" t="n">
        <x:f>IF(H25=0,"",G25/H25)</x:f>
        <x:v>0.3333333333333333</x:v>
      </x:c>
      <x:c r="J25" s="16" t="n">
        <x:f>COUNTIFS('逐条表现'!$F$7:$F$196,"苏冰",'逐条表现'!$G$7:$G$196,"15m",'逐条表现'!$D$7:$D$196,"原油",'逐条表现'!$R$7:$R$196,"&gt;0",'逐条表现'!$S$7:$S$196,"&gt;0")</x:f>
        <x:v>2</x:v>
      </x:c>
      <x:c r="K25" s="16" t="n">
        <x:f>COUNTIFS('逐条表现'!$F$7:$F$196,"苏冰",'逐条表现'!$G$7:$G$196,"15m",'逐条表现'!$D$7:$D$196,"原油",'逐条表现'!$R$7:$R$196,"&gt;0")</x:f>
        <x:v>3</x:v>
      </x:c>
      <x:c r="L25" s="17" t="n">
        <x:f>IF(K25=0,"",J25/K25)</x:f>
        <x:v>0.6666666666666666</x:v>
      </x:c>
      <x:c r="M25" s="5" t="n">
        <x:f>IF(K25=0,"",SUMIFS('逐条表现'!$S$7:$S$196,'逐条表现'!$F$7:$F$196,"苏冰",'逐条表现'!$G$7:$G$196,"15m",'逐条表现'!$D$7:$D$196,"原油")/K25)</x:f>
        <x:v>0.0003813342775099334</x:v>
      </x:c>
      <x:c r="N25" s="16" t="n">
        <x:f>C25-K25-COUNTIFS('逐条表现'!$F$7:$F$196,"苏冰",'逐条表现'!$G$7:$G$196,"15m",'逐条表现'!$D$7:$D$196,"原油",'逐条表现'!$AK$7:$AK$196,"待观察")</x:f>
        <x:v>2</x:v>
      </x:c>
      <x:c r="O25" s="16" t="n">
        <x:f>COUNTIFS('逐条表现'!$F$7:$F$196,"苏冰",'逐条表现'!$G$7:$G$196,"15m",'逐条表现'!$D$7:$D$196,"原油",'逐条表现'!$N$7:$N$196,"&gt;0",'逐条表现'!$O$7:$O$196,"&lt;0")</x:f>
        <x:v>3</x:v>
      </x:c>
      <x:c r="P25" s="16" t="n">
        <x:f>COUNTIFS('逐条表现'!$F$7:$F$196,"苏冰",'逐条表现'!$G$7:$G$196,"15m",'逐条表现'!$D$7:$D$196,"原油",'逐条表现'!$N$7:$N$196,"&gt;0",'逐条表现'!$O$7:$O$196,"=0")</x:f>
        <x:v>0</x:v>
      </x:c>
      <x:c r="Q25" s="16" t="n">
        <x:f>COUNTIFS('逐条表现'!$F$7:$F$196,"苏冰",'逐条表现'!$G$7:$G$196,"15m",'逐条表现'!$D$7:$D$196,"原油",'逐条表现'!$P$7:$P$196,"&gt;0",'逐条表现'!$Q$7:$Q$196,"&lt;0")</x:f>
        <x:v>2</x:v>
      </x:c>
      <x:c r="R25" s="16" t="n">
        <x:f>COUNTIFS('逐条表现'!$F$7:$F$196,"苏冰",'逐条表现'!$G$7:$G$196,"15m",'逐条表现'!$D$7:$D$196,"原油",'逐条表现'!$P$7:$P$196,"&gt;0",'逐条表现'!$Q$7:$Q$196,"=0")</x:f>
        <x:v>0</x:v>
      </x:c>
      <x:c r="S25" s="16" t="n">
        <x:f>COUNTIFS('逐条表现'!$F$7:$F$196,"苏冰",'逐条表现'!$G$7:$G$196,"15m",'逐条表现'!$D$7:$D$196,"原油",'逐条表现'!$R$7:$R$196,"&gt;0",'逐条表现'!$S$7:$S$196,"&lt;0")</x:f>
        <x:v>1</x:v>
      </x:c>
      <x:c r="T25" s="16" t="n">
        <x:f>COUNTIFS('逐条表现'!$F$7:$F$196,"苏冰",'逐条表现'!$G$7:$G$196,"15m",'逐条表现'!$D$7:$D$196,"原油",'逐条表现'!$R$7:$R$196,"&gt;0",'逐条表现'!$S$7:$S$196,"=0")</x:f>
        <x:v>0</x:v>
      </x:c>
      <x:c r="U25" s="5" t="n">
        <x:f>IF(E25=0,"",SUMIFS('逐条表现'!$O$7:$O$196,'逐条表现'!$F$7:$F$196,"苏冰",'逐条表现'!$G$7:$G$196,"15m",'逐条表现'!$D$7:$D$196,"原油")/E25)</x:f>
        <x:v>-0.0032405575016440555</x:v>
      </x:c>
      <x:c r="V25" s="5" t="n">
        <x:f>IF(H25=0,"",SUMIFS('逐条表现'!$Q$7:$Q$196,'逐条表现'!$F$7:$F$196,"苏冰",'逐条表现'!$G$7:$G$196,"15m",'逐条表现'!$D$7:$D$196,"原油")/H25)</x:f>
        <x:v>-0.002239526689960044</x:v>
      </x:c>
      <x:c r="W25" s="16" t="n">
        <x:f>C25-K25-N25</x:f>
        <x:v>0</x:v>
      </x:c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  <x:c r="AO25" s="2"/>
      <x:c r="AP25" s="2"/>
    </x:row>
    <x:row r="26" ht="27" customHeight="1">
      <x:c r="A26" s="2" t="str">
        <x:v>多晶硅 PS 苏冰</x:v>
      </x:c>
      <x:c r="B26" s="2" t="str">
        <x:v>15m</x:v>
      </x:c>
      <x:c r="C26" s="16" t="n">
        <x:f>COUNTIFS('逐条表现'!$F$7:$F$196,"苏冰",'逐条表现'!$G$7:$G$196,"15m",'逐条表现'!$D$7:$D$196,"多晶硅")</x:f>
        <x:v>3</x:v>
      </x:c>
      <x:c r="D26" s="16" t="n">
        <x:f>COUNTIFS('逐条表现'!$F$7:$F$196,"苏冰",'逐条表现'!$G$7:$G$196,"15m",'逐条表现'!$D$7:$D$196,"多晶硅",'逐条表现'!$N$7:$N$196,"&gt;0",'逐条表现'!$O$7:$O$196,"&gt;0")</x:f>
        <x:v>0</x:v>
      </x:c>
      <x:c r="E26" s="16" t="n">
        <x:f>COUNTIFS('逐条表现'!$F$7:$F$196,"苏冰",'逐条表现'!$G$7:$G$196,"15m",'逐条表现'!$D$7:$D$196,"多晶硅",'逐条表现'!$N$7:$N$196,"&gt;0")</x:f>
        <x:v>0</x:v>
      </x:c>
      <x:c r="F26" s="17" t="str">
        <x:f>IF(E26=0,"",D26/E26)</x:f>
      </x:c>
      <x:c r="G26" s="16" t="n">
        <x:f>COUNTIFS('逐条表现'!$F$7:$F$196,"苏冰",'逐条表现'!$G$7:$G$196,"15m",'逐条表现'!$D$7:$D$196,"多晶硅",'逐条表现'!$P$7:$P$196,"&gt;0",'逐条表现'!$Q$7:$Q$196,"&gt;0")</x:f>
        <x:v>0</x:v>
      </x:c>
      <x:c r="H26" s="16" t="n">
        <x:f>COUNTIFS('逐条表现'!$F$7:$F$196,"苏冰",'逐条表现'!$G$7:$G$196,"15m",'逐条表现'!$D$7:$D$196,"多晶硅",'逐条表现'!$P$7:$P$196,"&gt;0")</x:f>
        <x:v>0</x:v>
      </x:c>
      <x:c r="I26" s="17" t="str">
        <x:f>IF(H26=0,"",G26/H26)</x:f>
      </x:c>
      <x:c r="J26" s="16" t="n">
        <x:f>COUNTIFS('逐条表现'!$F$7:$F$196,"苏冰",'逐条表现'!$G$7:$G$196,"15m",'逐条表现'!$D$7:$D$196,"多晶硅",'逐条表现'!$R$7:$R$196,"&gt;0",'逐条表现'!$S$7:$S$196,"&gt;0")</x:f>
        <x:v>0</x:v>
      </x:c>
      <x:c r="K26" s="16" t="n">
        <x:f>COUNTIFS('逐条表现'!$F$7:$F$196,"苏冰",'逐条表现'!$G$7:$G$196,"15m",'逐条表现'!$D$7:$D$196,"多晶硅",'逐条表现'!$R$7:$R$196,"&gt;0")</x:f>
        <x:v>0</x:v>
      </x:c>
      <x:c r="L26" s="17" t="str">
        <x:f>IF(K26=0,"",J26/K26)</x:f>
      </x:c>
      <x:c r="M26" s="5" t="str">
        <x:f>IF(K26=0,"",SUMIFS('逐条表现'!$S$7:$S$196,'逐条表现'!$F$7:$F$196,"苏冰",'逐条表现'!$G$7:$G$196,"15m",'逐条表现'!$D$7:$D$196,"多晶硅")/K26)</x:f>
      </x:c>
      <x:c r="N26" s="16" t="n">
        <x:f>C26-K26-COUNTIFS('逐条表现'!$F$7:$F$196,"苏冰",'逐条表现'!$G$7:$G$196,"15m",'逐条表现'!$D$7:$D$196,"多晶硅",'逐条表现'!$AK$7:$AK$196,"待观察")</x:f>
        <x:v>3</x:v>
      </x:c>
      <x:c r="O26" s="16" t="n">
        <x:f>COUNTIFS('逐条表现'!$F$7:$F$196,"苏冰",'逐条表现'!$G$7:$G$196,"15m",'逐条表现'!$D$7:$D$196,"多晶硅",'逐条表现'!$N$7:$N$196,"&gt;0",'逐条表现'!$O$7:$O$196,"&lt;0")</x:f>
        <x:v>0</x:v>
      </x:c>
      <x:c r="P26" s="16" t="n">
        <x:f>COUNTIFS('逐条表现'!$F$7:$F$196,"苏冰",'逐条表现'!$G$7:$G$196,"15m",'逐条表现'!$D$7:$D$196,"多晶硅",'逐条表现'!$N$7:$N$196,"&gt;0",'逐条表现'!$O$7:$O$196,"=0")</x:f>
        <x:v>0</x:v>
      </x:c>
      <x:c r="Q26" s="16" t="n">
        <x:f>COUNTIFS('逐条表现'!$F$7:$F$196,"苏冰",'逐条表现'!$G$7:$G$196,"15m",'逐条表现'!$D$7:$D$196,"多晶硅",'逐条表现'!$P$7:$P$196,"&gt;0",'逐条表现'!$Q$7:$Q$196,"&lt;0")</x:f>
        <x:v>0</x:v>
      </x:c>
      <x:c r="R26" s="16" t="n">
        <x:f>COUNTIFS('逐条表现'!$F$7:$F$196,"苏冰",'逐条表现'!$G$7:$G$196,"15m",'逐条表现'!$D$7:$D$196,"多晶硅",'逐条表现'!$P$7:$P$196,"&gt;0",'逐条表现'!$Q$7:$Q$196,"=0")</x:f>
        <x:v>0</x:v>
      </x:c>
      <x:c r="S26" s="16" t="n">
        <x:f>COUNTIFS('逐条表现'!$F$7:$F$196,"苏冰",'逐条表现'!$G$7:$G$196,"15m",'逐条表现'!$D$7:$D$196,"多晶硅",'逐条表现'!$R$7:$R$196,"&gt;0",'逐条表现'!$S$7:$S$196,"&lt;0")</x:f>
        <x:v>0</x:v>
      </x:c>
      <x:c r="T26" s="16" t="n">
        <x:f>COUNTIFS('逐条表现'!$F$7:$F$196,"苏冰",'逐条表现'!$G$7:$G$196,"15m",'逐条表现'!$D$7:$D$196,"多晶硅",'逐条表现'!$R$7:$R$196,"&gt;0",'逐条表现'!$S$7:$S$196,"=0")</x:f>
        <x:v>0</x:v>
      </x:c>
      <x:c r="U26" s="5" t="str">
        <x:f>IF(E26=0,"",SUMIFS('逐条表现'!$O$7:$O$196,'逐条表现'!$F$7:$F$196,"苏冰",'逐条表现'!$G$7:$G$196,"15m",'逐条表现'!$D$7:$D$196,"多晶硅")/E26)</x:f>
      </x:c>
      <x:c r="V26" s="5" t="str">
        <x:f>IF(H26=0,"",SUMIFS('逐条表现'!$Q$7:$Q$196,'逐条表现'!$F$7:$F$196,"苏冰",'逐条表现'!$G$7:$G$196,"15m",'逐条表现'!$D$7:$D$196,"多晶硅")/H26)</x:f>
      </x:c>
      <x:c r="W26" s="16" t="n">
        <x:f>C26-K26-N26</x:f>
        <x:v>0</x:v>
      </x:c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</x:row>
    <x:row r="27" ht="27" customHeight="1">
      <x:c r="A27" s="2" t="str">
        <x:v>天然橡胶 RU 苏冰</x:v>
      </x:c>
      <x:c r="B27" s="2" t="str">
        <x:v>15m</x:v>
      </x:c>
      <x:c r="C27" s="16" t="n">
        <x:f>COUNTIFS('逐条表现'!$F$7:$F$196,"苏冰",'逐条表现'!$G$7:$G$196,"15m",'逐条表现'!$D$7:$D$196,"天然橡胶")</x:f>
        <x:v>2</x:v>
      </x:c>
      <x:c r="D27" s="16" t="n">
        <x:f>COUNTIFS('逐条表现'!$F$7:$F$196,"苏冰",'逐条表现'!$G$7:$G$196,"15m",'逐条表现'!$D$7:$D$196,"天然橡胶",'逐条表现'!$N$7:$N$196,"&gt;0",'逐条表现'!$O$7:$O$196,"&gt;0")</x:f>
        <x:v>0</x:v>
      </x:c>
      <x:c r="E27" s="16" t="n">
        <x:f>COUNTIFS('逐条表现'!$F$7:$F$196,"苏冰",'逐条表现'!$G$7:$G$196,"15m",'逐条表现'!$D$7:$D$196,"天然橡胶",'逐条表现'!$N$7:$N$196,"&gt;0")</x:f>
        <x:v>0</x:v>
      </x:c>
      <x:c r="F27" s="17" t="str">
        <x:f>IF(E27=0,"",D27/E27)</x:f>
      </x:c>
      <x:c r="G27" s="16" t="n">
        <x:f>COUNTIFS('逐条表现'!$F$7:$F$196,"苏冰",'逐条表现'!$G$7:$G$196,"15m",'逐条表现'!$D$7:$D$196,"天然橡胶",'逐条表现'!$P$7:$P$196,"&gt;0",'逐条表现'!$Q$7:$Q$196,"&gt;0")</x:f>
        <x:v>0</x:v>
      </x:c>
      <x:c r="H27" s="16" t="n">
        <x:f>COUNTIFS('逐条表现'!$F$7:$F$196,"苏冰",'逐条表现'!$G$7:$G$196,"15m",'逐条表现'!$D$7:$D$196,"天然橡胶",'逐条表现'!$P$7:$P$196,"&gt;0")</x:f>
        <x:v>0</x:v>
      </x:c>
      <x:c r="I27" s="17" t="str">
        <x:f>IF(H27=0,"",G27/H27)</x:f>
      </x:c>
      <x:c r="J27" s="16" t="n">
        <x:f>COUNTIFS('逐条表现'!$F$7:$F$196,"苏冰",'逐条表现'!$G$7:$G$196,"15m",'逐条表现'!$D$7:$D$196,"天然橡胶",'逐条表现'!$R$7:$R$196,"&gt;0",'逐条表现'!$S$7:$S$196,"&gt;0")</x:f>
        <x:v>0</x:v>
      </x:c>
      <x:c r="K27" s="16" t="n">
        <x:f>COUNTIFS('逐条表现'!$F$7:$F$196,"苏冰",'逐条表现'!$G$7:$G$196,"15m",'逐条表现'!$D$7:$D$196,"天然橡胶",'逐条表现'!$R$7:$R$196,"&gt;0")</x:f>
        <x:v>0</x:v>
      </x:c>
      <x:c r="L27" s="17" t="str">
        <x:f>IF(K27=0,"",J27/K27)</x:f>
      </x:c>
      <x:c r="M27" s="5" t="str">
        <x:f>IF(K27=0,"",SUMIFS('逐条表现'!$S$7:$S$196,'逐条表现'!$F$7:$F$196,"苏冰",'逐条表现'!$G$7:$G$196,"15m",'逐条表现'!$D$7:$D$196,"天然橡胶")/K27)</x:f>
      </x:c>
      <x:c r="N27" s="16" t="n">
        <x:f>C27-K27-COUNTIFS('逐条表现'!$F$7:$F$196,"苏冰",'逐条表现'!$G$7:$G$196,"15m",'逐条表现'!$D$7:$D$196,"天然橡胶",'逐条表现'!$AK$7:$AK$196,"待观察")</x:f>
        <x:v>2</x:v>
      </x:c>
      <x:c r="O27" s="16" t="n">
        <x:f>COUNTIFS('逐条表现'!$F$7:$F$196,"苏冰",'逐条表现'!$G$7:$G$196,"15m",'逐条表现'!$D$7:$D$196,"天然橡胶",'逐条表现'!$N$7:$N$196,"&gt;0",'逐条表现'!$O$7:$O$196,"&lt;0")</x:f>
        <x:v>0</x:v>
      </x:c>
      <x:c r="P27" s="16" t="n">
        <x:f>COUNTIFS('逐条表现'!$F$7:$F$196,"苏冰",'逐条表现'!$G$7:$G$196,"15m",'逐条表现'!$D$7:$D$196,"天然橡胶",'逐条表现'!$N$7:$N$196,"&gt;0",'逐条表现'!$O$7:$O$196,"=0")</x:f>
        <x:v>0</x:v>
      </x:c>
      <x:c r="Q27" s="16" t="n">
        <x:f>COUNTIFS('逐条表现'!$F$7:$F$196,"苏冰",'逐条表现'!$G$7:$G$196,"15m",'逐条表现'!$D$7:$D$196,"天然橡胶",'逐条表现'!$P$7:$P$196,"&gt;0",'逐条表现'!$Q$7:$Q$196,"&lt;0")</x:f>
        <x:v>0</x:v>
      </x:c>
      <x:c r="R27" s="16" t="n">
        <x:f>COUNTIFS('逐条表现'!$F$7:$F$196,"苏冰",'逐条表现'!$G$7:$G$196,"15m",'逐条表现'!$D$7:$D$196,"天然橡胶",'逐条表现'!$P$7:$P$196,"&gt;0",'逐条表现'!$Q$7:$Q$196,"=0")</x:f>
        <x:v>0</x:v>
      </x:c>
      <x:c r="S27" s="16" t="n">
        <x:f>COUNTIFS('逐条表现'!$F$7:$F$196,"苏冰",'逐条表现'!$G$7:$G$196,"15m",'逐条表现'!$D$7:$D$196,"天然橡胶",'逐条表现'!$R$7:$R$196,"&gt;0",'逐条表现'!$S$7:$S$196,"&lt;0")</x:f>
        <x:v>0</x:v>
      </x:c>
      <x:c r="T27" s="16" t="n">
        <x:f>COUNTIFS('逐条表现'!$F$7:$F$196,"苏冰",'逐条表现'!$G$7:$G$196,"15m",'逐条表现'!$D$7:$D$196,"天然橡胶",'逐条表现'!$R$7:$R$196,"&gt;0",'逐条表现'!$S$7:$S$196,"=0")</x:f>
        <x:v>0</x:v>
      </x:c>
      <x:c r="U27" s="5" t="str">
        <x:f>IF(E27=0,"",SUMIFS('逐条表现'!$O$7:$O$196,'逐条表现'!$F$7:$F$196,"苏冰",'逐条表现'!$G$7:$G$196,"15m",'逐条表现'!$D$7:$D$196,"天然橡胶")/E27)</x:f>
      </x:c>
      <x:c r="V27" s="5" t="str">
        <x:f>IF(H27=0,"",SUMIFS('逐条表现'!$Q$7:$Q$196,'逐条表现'!$F$7:$F$196,"苏冰",'逐条表现'!$G$7:$G$196,"15m",'逐条表现'!$D$7:$D$196,"天然橡胶")/H27)</x:f>
      </x:c>
      <x:c r="W27" s="16" t="n">
        <x:f>C27-K27-N27</x:f>
        <x:v>0</x:v>
      </x:c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</x:row>
    <x:row r="28" ht="27" customHeight="1">
      <x:c r="A28" s="2" t="str">
        <x:v>对二甲苯 PX 苏冰</x:v>
      </x:c>
      <x:c r="B28" s="2" t="str">
        <x:v>15m</x:v>
      </x:c>
      <x:c r="C28" s="16" t="n">
        <x:f>COUNTIFS('逐条表现'!$F$7:$F$196,"苏冰",'逐条表现'!$G$7:$G$196,"15m",'逐条表现'!$D$7:$D$196,"对二甲苯")</x:f>
        <x:v>2</x:v>
      </x:c>
      <x:c r="D28" s="16" t="n">
        <x:f>COUNTIFS('逐条表现'!$F$7:$F$196,"苏冰",'逐条表现'!$G$7:$G$196,"15m",'逐条表现'!$D$7:$D$196,"对二甲苯",'逐条表现'!$N$7:$N$196,"&gt;0",'逐条表现'!$O$7:$O$196,"&gt;0")</x:f>
        <x:v>1</x:v>
      </x:c>
      <x:c r="E28" s="16" t="n">
        <x:f>COUNTIFS('逐条表现'!$F$7:$F$196,"苏冰",'逐条表现'!$G$7:$G$196,"15m",'逐条表现'!$D$7:$D$196,"对二甲苯",'逐条表现'!$N$7:$N$196,"&gt;0")</x:f>
        <x:v>1</x:v>
      </x:c>
      <x:c r="F28" s="17" t="n">
        <x:f>IF(E28=0,"",D28/E28)</x:f>
        <x:v>1</x:v>
      </x:c>
      <x:c r="G28" s="16" t="n">
        <x:f>COUNTIFS('逐条表现'!$F$7:$F$196,"苏冰",'逐条表现'!$G$7:$G$196,"15m",'逐条表现'!$D$7:$D$196,"对二甲苯",'逐条表现'!$P$7:$P$196,"&gt;0",'逐条表现'!$Q$7:$Q$196,"&gt;0")</x:f>
        <x:v>1</x:v>
      </x:c>
      <x:c r="H28" s="16" t="n">
        <x:f>COUNTIFS('逐条表现'!$F$7:$F$196,"苏冰",'逐条表现'!$G$7:$G$196,"15m",'逐条表现'!$D$7:$D$196,"对二甲苯",'逐条表现'!$P$7:$P$196,"&gt;0")</x:f>
        <x:v>1</x:v>
      </x:c>
      <x:c r="I28" s="17" t="n">
        <x:f>IF(H28=0,"",G28/H28)</x:f>
        <x:v>1</x:v>
      </x:c>
      <x:c r="J28" s="16" t="n">
        <x:f>COUNTIFS('逐条表现'!$F$7:$F$196,"苏冰",'逐条表现'!$G$7:$G$196,"15m",'逐条表现'!$D$7:$D$196,"对二甲苯",'逐条表现'!$R$7:$R$196,"&gt;0",'逐条表现'!$S$7:$S$196,"&gt;0")</x:f>
        <x:v>1</x:v>
      </x:c>
      <x:c r="K28" s="16" t="n">
        <x:f>COUNTIFS('逐条表现'!$F$7:$F$196,"苏冰",'逐条表现'!$G$7:$G$196,"15m",'逐条表现'!$D$7:$D$196,"对二甲苯",'逐条表现'!$R$7:$R$196,"&gt;0")</x:f>
        <x:v>1</x:v>
      </x:c>
      <x:c r="L28" s="17" t="n">
        <x:f>IF(K28=0,"",J28/K28)</x:f>
        <x:v>1</x:v>
      </x:c>
      <x:c r="M28" s="5" t="n">
        <x:f>IF(K28=0,"",SUMIFS('逐条表现'!$S$7:$S$196,'逐条表现'!$F$7:$F$196,"苏冰",'逐条表现'!$G$7:$G$196,"15m",'逐条表现'!$D$7:$D$196,"对二甲苯")/K28)</x:f>
        <x:v>0.01235132662397076</x:v>
      </x:c>
      <x:c r="N28" s="16" t="n">
        <x:f>C28-K28-COUNTIFS('逐条表现'!$F$7:$F$196,"苏冰",'逐条表现'!$G$7:$G$196,"15m",'逐条表现'!$D$7:$D$196,"对二甲苯",'逐条表现'!$AK$7:$AK$196,"待观察")</x:f>
        <x:v>1</x:v>
      </x:c>
      <x:c r="O28" s="16" t="n">
        <x:f>COUNTIFS('逐条表现'!$F$7:$F$196,"苏冰",'逐条表现'!$G$7:$G$196,"15m",'逐条表现'!$D$7:$D$196,"对二甲苯",'逐条表现'!$N$7:$N$196,"&gt;0",'逐条表现'!$O$7:$O$196,"&lt;0")</x:f>
        <x:v>0</x:v>
      </x:c>
      <x:c r="P28" s="16" t="n">
        <x:f>COUNTIFS('逐条表现'!$F$7:$F$196,"苏冰",'逐条表现'!$G$7:$G$196,"15m",'逐条表现'!$D$7:$D$196,"对二甲苯",'逐条表现'!$N$7:$N$196,"&gt;0",'逐条表现'!$O$7:$O$196,"=0")</x:f>
        <x:v>0</x:v>
      </x:c>
      <x:c r="Q28" s="16" t="n">
        <x:f>COUNTIFS('逐条表现'!$F$7:$F$196,"苏冰",'逐条表现'!$G$7:$G$196,"15m",'逐条表现'!$D$7:$D$196,"对二甲苯",'逐条表现'!$P$7:$P$196,"&gt;0",'逐条表现'!$Q$7:$Q$196,"&lt;0")</x:f>
        <x:v>0</x:v>
      </x:c>
      <x:c r="R28" s="16" t="n">
        <x:f>COUNTIFS('逐条表现'!$F$7:$F$196,"苏冰",'逐条表现'!$G$7:$G$196,"15m",'逐条表现'!$D$7:$D$196,"对二甲苯",'逐条表现'!$P$7:$P$196,"&gt;0",'逐条表现'!$Q$7:$Q$196,"=0")</x:f>
        <x:v>0</x:v>
      </x:c>
      <x:c r="S28" s="16" t="n">
        <x:f>COUNTIFS('逐条表现'!$F$7:$F$196,"苏冰",'逐条表现'!$G$7:$G$196,"15m",'逐条表现'!$D$7:$D$196,"对二甲苯",'逐条表现'!$R$7:$R$196,"&gt;0",'逐条表现'!$S$7:$S$196,"&lt;0")</x:f>
        <x:v>0</x:v>
      </x:c>
      <x:c r="T28" s="16" t="n">
        <x:f>COUNTIFS('逐条表现'!$F$7:$F$196,"苏冰",'逐条表现'!$G$7:$G$196,"15m",'逐条表现'!$D$7:$D$196,"对二甲苯",'逐条表现'!$R$7:$R$196,"&gt;0",'逐条表现'!$S$7:$S$196,"=0")</x:f>
        <x:v>0</x:v>
      </x:c>
      <x:c r="U28" s="5" t="n">
        <x:f>IF(E28=0,"",SUMIFS('逐条表现'!$O$7:$O$196,'逐条表现'!$F$7:$F$196,"苏冰",'逐条表现'!$G$7:$G$196,"15m",'逐条表现'!$D$7:$D$196,"对二甲苯")/E28)</x:f>
        <x:v>0.00045745654162865357</x:v>
      </x:c>
      <x:c r="V28" s="5" t="n">
        <x:f>IF(H28=0,"",SUMIFS('逐条表现'!$Q$7:$Q$196,'逐条表现'!$F$7:$F$196,"苏冰",'逐条表现'!$G$7:$G$196,"15m",'逐条表现'!$D$7:$D$196,"对二甲苯")/H28)</x:f>
        <x:v>0.003888380603842556</x:v>
      </x:c>
      <x:c r="W28" s="16" t="n">
        <x:f>C28-K28-N28</x:f>
        <x:v>0</x:v>
      </x:c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</x:row>
    <x:row r="29" ht="27" customHeight="1">
      <x:c r="A29" s="2" t="str">
        <x:v>尿素 UR 苏冰</x:v>
      </x:c>
      <x:c r="B29" s="2" t="str">
        <x:v>15m</x:v>
      </x:c>
      <x:c r="C29" s="16" t="n">
        <x:f>COUNTIFS('逐条表现'!$F$7:$F$196,"苏冰",'逐条表现'!$G$7:$G$196,"15m",'逐条表现'!$D$7:$D$196,"尿素")</x:f>
        <x:v>1</x:v>
      </x:c>
      <x:c r="D29" s="16" t="n">
        <x:f>COUNTIFS('逐条表现'!$F$7:$F$196,"苏冰",'逐条表现'!$G$7:$G$196,"15m",'逐条表现'!$D$7:$D$196,"尿素",'逐条表现'!$N$7:$N$196,"&gt;0",'逐条表现'!$O$7:$O$196,"&gt;0")</x:f>
        <x:v>0</x:v>
      </x:c>
      <x:c r="E29" s="16" t="n">
        <x:f>COUNTIFS('逐条表现'!$F$7:$F$196,"苏冰",'逐条表现'!$G$7:$G$196,"15m",'逐条表现'!$D$7:$D$196,"尿素",'逐条表现'!$N$7:$N$196,"&gt;0")</x:f>
        <x:v>0</x:v>
      </x:c>
      <x:c r="F29" s="17" t="str">
        <x:f>IF(E29=0,"",D29/E29)</x:f>
      </x:c>
      <x:c r="G29" s="16" t="n">
        <x:f>COUNTIFS('逐条表现'!$F$7:$F$196,"苏冰",'逐条表现'!$G$7:$G$196,"15m",'逐条表现'!$D$7:$D$196,"尿素",'逐条表现'!$P$7:$P$196,"&gt;0",'逐条表现'!$Q$7:$Q$196,"&gt;0")</x:f>
        <x:v>0</x:v>
      </x:c>
      <x:c r="H29" s="16" t="n">
        <x:f>COUNTIFS('逐条表现'!$F$7:$F$196,"苏冰",'逐条表现'!$G$7:$G$196,"15m",'逐条表现'!$D$7:$D$196,"尿素",'逐条表现'!$P$7:$P$196,"&gt;0")</x:f>
        <x:v>0</x:v>
      </x:c>
      <x:c r="I29" s="17" t="str">
        <x:f>IF(H29=0,"",G29/H29)</x:f>
      </x:c>
      <x:c r="J29" s="16" t="n">
        <x:f>COUNTIFS('逐条表现'!$F$7:$F$196,"苏冰",'逐条表现'!$G$7:$G$196,"15m",'逐条表现'!$D$7:$D$196,"尿素",'逐条表现'!$R$7:$R$196,"&gt;0",'逐条表现'!$S$7:$S$196,"&gt;0")</x:f>
        <x:v>0</x:v>
      </x:c>
      <x:c r="K29" s="16" t="n">
        <x:f>COUNTIFS('逐条表现'!$F$7:$F$196,"苏冰",'逐条表现'!$G$7:$G$196,"15m",'逐条表现'!$D$7:$D$196,"尿素",'逐条表现'!$R$7:$R$196,"&gt;0")</x:f>
        <x:v>0</x:v>
      </x:c>
      <x:c r="L29" s="17" t="str">
        <x:f>IF(K29=0,"",J29/K29)</x:f>
      </x:c>
      <x:c r="M29" s="5" t="str">
        <x:f>IF(K29=0,"",SUMIFS('逐条表现'!$S$7:$S$196,'逐条表现'!$F$7:$F$196,"苏冰",'逐条表现'!$G$7:$G$196,"15m",'逐条表现'!$D$7:$D$196,"尿素")/K29)</x:f>
      </x:c>
      <x:c r="N29" s="16" t="n">
        <x:f>C29-K29-COUNTIFS('逐条表现'!$F$7:$F$196,"苏冰",'逐条表现'!$G$7:$G$196,"15m",'逐条表现'!$D$7:$D$196,"尿素",'逐条表现'!$AK$7:$AK$196,"待观察")</x:f>
        <x:v>1</x:v>
      </x:c>
      <x:c r="O29" s="16" t="n">
        <x:f>COUNTIFS('逐条表现'!$F$7:$F$196,"苏冰",'逐条表现'!$G$7:$G$196,"15m",'逐条表现'!$D$7:$D$196,"尿素",'逐条表现'!$N$7:$N$196,"&gt;0",'逐条表现'!$O$7:$O$196,"&lt;0")</x:f>
        <x:v>0</x:v>
      </x:c>
      <x:c r="P29" s="16" t="n">
        <x:f>COUNTIFS('逐条表现'!$F$7:$F$196,"苏冰",'逐条表现'!$G$7:$G$196,"15m",'逐条表现'!$D$7:$D$196,"尿素",'逐条表现'!$N$7:$N$196,"&gt;0",'逐条表现'!$O$7:$O$196,"=0")</x:f>
        <x:v>0</x:v>
      </x:c>
      <x:c r="Q29" s="16" t="n">
        <x:f>COUNTIFS('逐条表现'!$F$7:$F$196,"苏冰",'逐条表现'!$G$7:$G$196,"15m",'逐条表现'!$D$7:$D$196,"尿素",'逐条表现'!$P$7:$P$196,"&gt;0",'逐条表现'!$Q$7:$Q$196,"&lt;0")</x:f>
        <x:v>0</x:v>
      </x:c>
      <x:c r="R29" s="16" t="n">
        <x:f>COUNTIFS('逐条表现'!$F$7:$F$196,"苏冰",'逐条表现'!$G$7:$G$196,"15m",'逐条表现'!$D$7:$D$196,"尿素",'逐条表现'!$P$7:$P$196,"&gt;0",'逐条表现'!$Q$7:$Q$196,"=0")</x:f>
        <x:v>0</x:v>
      </x:c>
      <x:c r="S29" s="16" t="n">
        <x:f>COUNTIFS('逐条表现'!$F$7:$F$196,"苏冰",'逐条表现'!$G$7:$G$196,"15m",'逐条表现'!$D$7:$D$196,"尿素",'逐条表现'!$R$7:$R$196,"&gt;0",'逐条表现'!$S$7:$S$196,"&lt;0")</x:f>
        <x:v>0</x:v>
      </x:c>
      <x:c r="T29" s="16" t="n">
        <x:f>COUNTIFS('逐条表现'!$F$7:$F$196,"苏冰",'逐条表现'!$G$7:$G$196,"15m",'逐条表现'!$D$7:$D$196,"尿素",'逐条表现'!$R$7:$R$196,"&gt;0",'逐条表现'!$S$7:$S$196,"=0")</x:f>
        <x:v>0</x:v>
      </x:c>
      <x:c r="U29" s="5" t="str">
        <x:f>IF(E29=0,"",SUMIFS('逐条表现'!$O$7:$O$196,'逐条表现'!$F$7:$F$196,"苏冰",'逐条表现'!$G$7:$G$196,"15m",'逐条表现'!$D$7:$D$196,"尿素")/E29)</x:f>
      </x:c>
      <x:c r="V29" s="5" t="str">
        <x:f>IF(H29=0,"",SUMIFS('逐条表现'!$Q$7:$Q$196,'逐条表现'!$F$7:$F$196,"苏冰",'逐条表现'!$G$7:$G$196,"15m",'逐条表现'!$D$7:$D$196,"尿素")/H29)</x:f>
      </x:c>
      <x:c r="W29" s="16" t="n">
        <x:f>C29-K29-N29</x:f>
        <x:v>0</x:v>
      </x:c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</x:row>
    <x:row r="30" ht="27" customHeight="1">
      <x:c r="A30" s="2" t="str">
        <x:v>工业硅 SI 苏冰</x:v>
      </x:c>
      <x:c r="B30" s="2" t="str">
        <x:v>15m</x:v>
      </x:c>
      <x:c r="C30" s="16" t="n">
        <x:f>COUNTIFS('逐条表现'!$F$7:$F$196,"苏冰",'逐条表现'!$G$7:$G$196,"15m",'逐条表现'!$D$7:$D$196,"工业硅")</x:f>
        <x:v>2</x:v>
      </x:c>
      <x:c r="D30" s="16" t="n">
        <x:f>COUNTIFS('逐条表现'!$F$7:$F$196,"苏冰",'逐条表现'!$G$7:$G$196,"15m",'逐条表现'!$D$7:$D$196,"工业硅",'逐条表现'!$N$7:$N$196,"&gt;0",'逐条表现'!$O$7:$O$196,"&gt;0")</x:f>
        <x:v>1</x:v>
      </x:c>
      <x:c r="E30" s="16" t="n">
        <x:f>COUNTIFS('逐条表现'!$F$7:$F$196,"苏冰",'逐条表现'!$G$7:$G$196,"15m",'逐条表现'!$D$7:$D$196,"工业硅",'逐条表现'!$N$7:$N$196,"&gt;0")</x:f>
        <x:v>1</x:v>
      </x:c>
      <x:c r="F30" s="17" t="n">
        <x:f>IF(E30=0,"",D30/E30)</x:f>
        <x:v>1</x:v>
      </x:c>
      <x:c r="G30" s="16" t="n">
        <x:f>COUNTIFS('逐条表现'!$F$7:$F$196,"苏冰",'逐条表现'!$G$7:$G$196,"15m",'逐条表现'!$D$7:$D$196,"工业硅",'逐条表现'!$P$7:$P$196,"&gt;0",'逐条表现'!$Q$7:$Q$196,"&gt;0")</x:f>
        <x:v>1</x:v>
      </x:c>
      <x:c r="H30" s="16" t="n">
        <x:f>COUNTIFS('逐条表现'!$F$7:$F$196,"苏冰",'逐条表现'!$G$7:$G$196,"15m",'逐条表现'!$D$7:$D$196,"工业硅",'逐条表现'!$P$7:$P$196,"&gt;0")</x:f>
        <x:v>1</x:v>
      </x:c>
      <x:c r="I30" s="17" t="n">
        <x:f>IF(H30=0,"",G30/H30)</x:f>
        <x:v>1</x:v>
      </x:c>
      <x:c r="J30" s="16" t="n">
        <x:f>COUNTIFS('逐条表现'!$F$7:$F$196,"苏冰",'逐条表现'!$G$7:$G$196,"15m",'逐条表现'!$D$7:$D$196,"工业硅",'逐条表现'!$R$7:$R$196,"&gt;0",'逐条表现'!$S$7:$S$196,"&gt;0")</x:f>
        <x:v>1</x:v>
      </x:c>
      <x:c r="K30" s="16" t="n">
        <x:f>COUNTIFS('逐条表现'!$F$7:$F$196,"苏冰",'逐条表现'!$G$7:$G$196,"15m",'逐条表现'!$D$7:$D$196,"工业硅",'逐条表现'!$R$7:$R$196,"&gt;0")</x:f>
        <x:v>1</x:v>
      </x:c>
      <x:c r="L30" s="17" t="n">
        <x:f>IF(K30=0,"",J30/K30)</x:f>
        <x:v>1</x:v>
      </x:c>
      <x:c r="M30" s="5" t="n">
        <x:f>IF(K30=0,"",SUMIFS('逐条表现'!$S$7:$S$196,'逐条表现'!$F$7:$F$196,"苏冰",'逐条表现'!$G$7:$G$196,"15m",'逐条表现'!$D$7:$D$196,"工业硅")/K30)</x:f>
        <x:v>0.013157894736842035</x:v>
      </x:c>
      <x:c r="N30" s="16" t="n">
        <x:f>C30-K30-COUNTIFS('逐条表现'!$F$7:$F$196,"苏冰",'逐条表现'!$G$7:$G$196,"15m",'逐条表现'!$D$7:$D$196,"工业硅",'逐条表现'!$AK$7:$AK$196,"待观察")</x:f>
        <x:v>1</x:v>
      </x:c>
      <x:c r="O30" s="16" t="n">
        <x:f>COUNTIFS('逐条表现'!$F$7:$F$196,"苏冰",'逐条表现'!$G$7:$G$196,"15m",'逐条表现'!$D$7:$D$196,"工业硅",'逐条表现'!$N$7:$N$196,"&gt;0",'逐条表现'!$O$7:$O$196,"&lt;0")</x:f>
        <x:v>0</x:v>
      </x:c>
      <x:c r="P30" s="16" t="n">
        <x:f>COUNTIFS('逐条表现'!$F$7:$F$196,"苏冰",'逐条表现'!$G$7:$G$196,"15m",'逐条表现'!$D$7:$D$196,"工业硅",'逐条表现'!$N$7:$N$196,"&gt;0",'逐条表现'!$O$7:$O$196,"=0")</x:f>
        <x:v>0</x:v>
      </x:c>
      <x:c r="Q30" s="16" t="n">
        <x:f>COUNTIFS('逐条表现'!$F$7:$F$196,"苏冰",'逐条表现'!$G$7:$G$196,"15m",'逐条表现'!$D$7:$D$196,"工业硅",'逐条表现'!$P$7:$P$196,"&gt;0",'逐条表现'!$Q$7:$Q$196,"&lt;0")</x:f>
        <x:v>0</x:v>
      </x:c>
      <x:c r="R30" s="16" t="n">
        <x:f>COUNTIFS('逐条表现'!$F$7:$F$196,"苏冰",'逐条表现'!$G$7:$G$196,"15m",'逐条表现'!$D$7:$D$196,"工业硅",'逐条表现'!$P$7:$P$196,"&gt;0",'逐条表现'!$Q$7:$Q$196,"=0")</x:f>
        <x:v>0</x:v>
      </x:c>
      <x:c r="S30" s="16" t="n">
        <x:f>COUNTIFS('逐条表现'!$F$7:$F$196,"苏冰",'逐条表现'!$G$7:$G$196,"15m",'逐条表现'!$D$7:$D$196,"工业硅",'逐条表现'!$R$7:$R$196,"&gt;0",'逐条表现'!$S$7:$S$196,"&lt;0")</x:f>
        <x:v>0</x:v>
      </x:c>
      <x:c r="T30" s="16" t="n">
        <x:f>COUNTIFS('逐条表现'!$F$7:$F$196,"苏冰",'逐条表现'!$G$7:$G$196,"15m",'逐条表现'!$D$7:$D$196,"工业硅",'逐条表现'!$R$7:$R$196,"&gt;0",'逐条表现'!$S$7:$S$196,"=0")</x:f>
        <x:v>0</x:v>
      </x:c>
      <x:c r="U30" s="5" t="n">
        <x:f>IF(E30=0,"",SUMIFS('逐条表现'!$O$7:$O$196,'逐条表现'!$F$7:$F$196,"苏冰",'逐条表现'!$G$7:$G$196,"15m",'逐条表现'!$D$7:$D$196,"工业硅")/E30)</x:f>
        <x:v>0.0017162471395881784</x:v>
      </x:c>
      <x:c r="V30" s="5" t="n">
        <x:f>IF(H30=0,"",SUMIFS('逐条表现'!$Q$7:$Q$196,'逐条表现'!$F$7:$F$196,"苏冰",'逐条表现'!$G$7:$G$196,"15m",'逐条表现'!$D$7:$D$196,"工业硅")/H30)</x:f>
        <x:v>0.003432494279176135</x:v>
      </x:c>
      <x:c r="W30" s="16" t="n">
        <x:f>C30-K30-N30</x:f>
        <x:v>0</x:v>
      </x:c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</x:row>
    <x:row r="31" ht="27" customHeight="1">
      <x:c r="A31" s="2" t="str">
        <x:v>棉花 CF 苏冰</x:v>
      </x:c>
      <x:c r="B31" s="2" t="str">
        <x:v>15m</x:v>
      </x:c>
      <x:c r="C31" s="16" t="n">
        <x:f>COUNTIFS('逐条表现'!$F$7:$F$196,"苏冰",'逐条表现'!$G$7:$G$196,"15m",'逐条表现'!$D$7:$D$196,"棉花")</x:f>
        <x:v>2</x:v>
      </x:c>
      <x:c r="D31" s="16" t="n">
        <x:f>COUNTIFS('逐条表现'!$F$7:$F$196,"苏冰",'逐条表现'!$G$7:$G$196,"15m",'逐条表现'!$D$7:$D$196,"棉花",'逐条表现'!$N$7:$N$196,"&gt;0",'逐条表现'!$O$7:$O$196,"&gt;0")</x:f>
        <x:v>0</x:v>
      </x:c>
      <x:c r="E31" s="16" t="n">
        <x:f>COUNTIFS('逐条表现'!$F$7:$F$196,"苏冰",'逐条表现'!$G$7:$G$196,"15m",'逐条表现'!$D$7:$D$196,"棉花",'逐条表现'!$N$7:$N$196,"&gt;0")</x:f>
        <x:v>0</x:v>
      </x:c>
      <x:c r="F31" s="17" t="str">
        <x:f>IF(E31=0,"",D31/E31)</x:f>
      </x:c>
      <x:c r="G31" s="16" t="n">
        <x:f>COUNTIFS('逐条表现'!$F$7:$F$196,"苏冰",'逐条表现'!$G$7:$G$196,"15m",'逐条表现'!$D$7:$D$196,"棉花",'逐条表现'!$P$7:$P$196,"&gt;0",'逐条表现'!$Q$7:$Q$196,"&gt;0")</x:f>
        <x:v>0</x:v>
      </x:c>
      <x:c r="H31" s="16" t="n">
        <x:f>COUNTIFS('逐条表现'!$F$7:$F$196,"苏冰",'逐条表现'!$G$7:$G$196,"15m",'逐条表现'!$D$7:$D$196,"棉花",'逐条表现'!$P$7:$P$196,"&gt;0")</x:f>
        <x:v>0</x:v>
      </x:c>
      <x:c r="I31" s="17" t="str">
        <x:f>IF(H31=0,"",G31/H31)</x:f>
      </x:c>
      <x:c r="J31" s="16" t="n">
        <x:f>COUNTIFS('逐条表现'!$F$7:$F$196,"苏冰",'逐条表现'!$G$7:$G$196,"15m",'逐条表现'!$D$7:$D$196,"棉花",'逐条表现'!$R$7:$R$196,"&gt;0",'逐条表现'!$S$7:$S$196,"&gt;0")</x:f>
        <x:v>0</x:v>
      </x:c>
      <x:c r="K31" s="16" t="n">
        <x:f>COUNTIFS('逐条表现'!$F$7:$F$196,"苏冰",'逐条表现'!$G$7:$G$196,"15m",'逐条表现'!$D$7:$D$196,"棉花",'逐条表现'!$R$7:$R$196,"&gt;0")</x:f>
        <x:v>0</x:v>
      </x:c>
      <x:c r="L31" s="17" t="str">
        <x:f>IF(K31=0,"",J31/K31)</x:f>
      </x:c>
      <x:c r="M31" s="5" t="str">
        <x:f>IF(K31=0,"",SUMIFS('逐条表现'!$S$7:$S$196,'逐条表现'!$F$7:$F$196,"苏冰",'逐条表现'!$G$7:$G$196,"15m",'逐条表现'!$D$7:$D$196,"棉花")/K31)</x:f>
      </x:c>
      <x:c r="N31" s="16" t="n">
        <x:f>C31-K31-COUNTIFS('逐条表现'!$F$7:$F$196,"苏冰",'逐条表现'!$G$7:$G$196,"15m",'逐条表现'!$D$7:$D$196,"棉花",'逐条表现'!$AK$7:$AK$196,"待观察")</x:f>
        <x:v>2</x:v>
      </x:c>
      <x:c r="O31" s="16" t="n">
        <x:f>COUNTIFS('逐条表现'!$F$7:$F$196,"苏冰",'逐条表现'!$G$7:$G$196,"15m",'逐条表现'!$D$7:$D$196,"棉花",'逐条表现'!$N$7:$N$196,"&gt;0",'逐条表现'!$O$7:$O$196,"&lt;0")</x:f>
        <x:v>0</x:v>
      </x:c>
      <x:c r="P31" s="16" t="n">
        <x:f>COUNTIFS('逐条表现'!$F$7:$F$196,"苏冰",'逐条表现'!$G$7:$G$196,"15m",'逐条表现'!$D$7:$D$196,"棉花",'逐条表现'!$N$7:$N$196,"&gt;0",'逐条表现'!$O$7:$O$196,"=0")</x:f>
        <x:v>0</x:v>
      </x:c>
      <x:c r="Q31" s="16" t="n">
        <x:f>COUNTIFS('逐条表现'!$F$7:$F$196,"苏冰",'逐条表现'!$G$7:$G$196,"15m",'逐条表现'!$D$7:$D$196,"棉花",'逐条表现'!$P$7:$P$196,"&gt;0",'逐条表现'!$Q$7:$Q$196,"&lt;0")</x:f>
        <x:v>0</x:v>
      </x:c>
      <x:c r="R31" s="16" t="n">
        <x:f>COUNTIFS('逐条表现'!$F$7:$F$196,"苏冰",'逐条表现'!$G$7:$G$196,"15m",'逐条表现'!$D$7:$D$196,"棉花",'逐条表现'!$P$7:$P$196,"&gt;0",'逐条表现'!$Q$7:$Q$196,"=0")</x:f>
        <x:v>0</x:v>
      </x:c>
      <x:c r="S31" s="16" t="n">
        <x:f>COUNTIFS('逐条表现'!$F$7:$F$196,"苏冰",'逐条表现'!$G$7:$G$196,"15m",'逐条表现'!$D$7:$D$196,"棉花",'逐条表现'!$R$7:$R$196,"&gt;0",'逐条表现'!$S$7:$S$196,"&lt;0")</x:f>
        <x:v>0</x:v>
      </x:c>
      <x:c r="T31" s="16" t="n">
        <x:f>COUNTIFS('逐条表现'!$F$7:$F$196,"苏冰",'逐条表现'!$G$7:$G$196,"15m",'逐条表现'!$D$7:$D$196,"棉花",'逐条表现'!$R$7:$R$196,"&gt;0",'逐条表现'!$S$7:$S$196,"=0")</x:f>
        <x:v>0</x:v>
      </x:c>
      <x:c r="U31" s="5" t="str">
        <x:f>IF(E31=0,"",SUMIFS('逐条表现'!$O$7:$O$196,'逐条表现'!$F$7:$F$196,"苏冰",'逐条表现'!$G$7:$G$196,"15m",'逐条表现'!$D$7:$D$196,"棉花")/E31)</x:f>
      </x:c>
      <x:c r="V31" s="5" t="str">
        <x:f>IF(H31=0,"",SUMIFS('逐条表现'!$Q$7:$Q$196,'逐条表现'!$F$7:$F$196,"苏冰",'逐条表现'!$G$7:$G$196,"15m",'逐条表现'!$D$7:$D$196,"棉花")/H31)</x:f>
      </x:c>
      <x:c r="W31" s="16" t="n">
        <x:f>C31-K31-N31</x:f>
        <x:v>0</x:v>
      </x:c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</x:row>
    <x:row r="32" ht="27" customHeight="1">
      <x:c r="A32" s="2" t="str">
        <x:v>棕榈油 P 苏冰</x:v>
      </x:c>
      <x:c r="B32" s="2" t="str">
        <x:v>15m</x:v>
      </x:c>
      <x:c r="C32" s="16" t="n">
        <x:f>COUNTIFS('逐条表现'!$F$7:$F$196,"苏冰",'逐条表现'!$G$7:$G$196,"15m",'逐条表现'!$D$7:$D$196,"棕榈油")</x:f>
        <x:v>1</x:v>
      </x:c>
      <x:c r="D32" s="16" t="n">
        <x:f>COUNTIFS('逐条表现'!$F$7:$F$196,"苏冰",'逐条表现'!$G$7:$G$196,"15m",'逐条表现'!$D$7:$D$196,"棕榈油",'逐条表现'!$N$7:$N$196,"&gt;0",'逐条表现'!$O$7:$O$196,"&gt;0")</x:f>
        <x:v>0</x:v>
      </x:c>
      <x:c r="E32" s="16" t="n">
        <x:f>COUNTIFS('逐条表现'!$F$7:$F$196,"苏冰",'逐条表现'!$G$7:$G$196,"15m",'逐条表现'!$D$7:$D$196,"棕榈油",'逐条表现'!$N$7:$N$196,"&gt;0")</x:f>
        <x:v>0</x:v>
      </x:c>
      <x:c r="F32" s="17" t="str">
        <x:f>IF(E32=0,"",D32/E32)</x:f>
      </x:c>
      <x:c r="G32" s="16" t="n">
        <x:f>COUNTIFS('逐条表现'!$F$7:$F$196,"苏冰",'逐条表现'!$G$7:$G$196,"15m",'逐条表现'!$D$7:$D$196,"棕榈油",'逐条表现'!$P$7:$P$196,"&gt;0",'逐条表现'!$Q$7:$Q$196,"&gt;0")</x:f>
        <x:v>0</x:v>
      </x:c>
      <x:c r="H32" s="16" t="n">
        <x:f>COUNTIFS('逐条表现'!$F$7:$F$196,"苏冰",'逐条表现'!$G$7:$G$196,"15m",'逐条表现'!$D$7:$D$196,"棕榈油",'逐条表现'!$P$7:$P$196,"&gt;0")</x:f>
        <x:v>0</x:v>
      </x:c>
      <x:c r="I32" s="17" t="str">
        <x:f>IF(H32=0,"",G32/H32)</x:f>
      </x:c>
      <x:c r="J32" s="16" t="n">
        <x:f>COUNTIFS('逐条表现'!$F$7:$F$196,"苏冰",'逐条表现'!$G$7:$G$196,"15m",'逐条表现'!$D$7:$D$196,"棕榈油",'逐条表现'!$R$7:$R$196,"&gt;0",'逐条表现'!$S$7:$S$196,"&gt;0")</x:f>
        <x:v>0</x:v>
      </x:c>
      <x:c r="K32" s="16" t="n">
        <x:f>COUNTIFS('逐条表现'!$F$7:$F$196,"苏冰",'逐条表现'!$G$7:$G$196,"15m",'逐条表现'!$D$7:$D$196,"棕榈油",'逐条表现'!$R$7:$R$196,"&gt;0")</x:f>
        <x:v>0</x:v>
      </x:c>
      <x:c r="L32" s="17" t="str">
        <x:f>IF(K32=0,"",J32/K32)</x:f>
      </x:c>
      <x:c r="M32" s="5" t="str">
        <x:f>IF(K32=0,"",SUMIFS('逐条表现'!$S$7:$S$196,'逐条表现'!$F$7:$F$196,"苏冰",'逐条表现'!$G$7:$G$196,"15m",'逐条表现'!$D$7:$D$196,"棕榈油")/K32)</x:f>
      </x:c>
      <x:c r="N32" s="16" t="n">
        <x:f>C32-K32-COUNTIFS('逐条表现'!$F$7:$F$196,"苏冰",'逐条表现'!$G$7:$G$196,"15m",'逐条表现'!$D$7:$D$196,"棕榈油",'逐条表现'!$AK$7:$AK$196,"待观察")</x:f>
        <x:v>1</x:v>
      </x:c>
      <x:c r="O32" s="16" t="n">
        <x:f>COUNTIFS('逐条表现'!$F$7:$F$196,"苏冰",'逐条表现'!$G$7:$G$196,"15m",'逐条表现'!$D$7:$D$196,"棕榈油",'逐条表现'!$N$7:$N$196,"&gt;0",'逐条表现'!$O$7:$O$196,"&lt;0")</x:f>
        <x:v>0</x:v>
      </x:c>
      <x:c r="P32" s="16" t="n">
        <x:f>COUNTIFS('逐条表现'!$F$7:$F$196,"苏冰",'逐条表现'!$G$7:$G$196,"15m",'逐条表现'!$D$7:$D$196,"棕榈油",'逐条表现'!$N$7:$N$196,"&gt;0",'逐条表现'!$O$7:$O$196,"=0")</x:f>
        <x:v>0</x:v>
      </x:c>
      <x:c r="Q32" s="16" t="n">
        <x:f>COUNTIFS('逐条表现'!$F$7:$F$196,"苏冰",'逐条表现'!$G$7:$G$196,"15m",'逐条表现'!$D$7:$D$196,"棕榈油",'逐条表现'!$P$7:$P$196,"&gt;0",'逐条表现'!$Q$7:$Q$196,"&lt;0")</x:f>
        <x:v>0</x:v>
      </x:c>
      <x:c r="R32" s="16" t="n">
        <x:f>COUNTIFS('逐条表现'!$F$7:$F$196,"苏冰",'逐条表现'!$G$7:$G$196,"15m",'逐条表现'!$D$7:$D$196,"棕榈油",'逐条表现'!$P$7:$P$196,"&gt;0",'逐条表现'!$Q$7:$Q$196,"=0")</x:f>
        <x:v>0</x:v>
      </x:c>
      <x:c r="S32" s="16" t="n">
        <x:f>COUNTIFS('逐条表现'!$F$7:$F$196,"苏冰",'逐条表现'!$G$7:$G$196,"15m",'逐条表现'!$D$7:$D$196,"棕榈油",'逐条表现'!$R$7:$R$196,"&gt;0",'逐条表现'!$S$7:$S$196,"&lt;0")</x:f>
        <x:v>0</x:v>
      </x:c>
      <x:c r="T32" s="16" t="n">
        <x:f>COUNTIFS('逐条表现'!$F$7:$F$196,"苏冰",'逐条表现'!$G$7:$G$196,"15m",'逐条表现'!$D$7:$D$196,"棕榈油",'逐条表现'!$R$7:$R$196,"&gt;0",'逐条表现'!$S$7:$S$196,"=0")</x:f>
        <x:v>0</x:v>
      </x:c>
      <x:c r="U32" s="5" t="str">
        <x:f>IF(E32=0,"",SUMIFS('逐条表现'!$O$7:$O$196,'逐条表现'!$F$7:$F$196,"苏冰",'逐条表现'!$G$7:$G$196,"15m",'逐条表现'!$D$7:$D$196,"棕榈油")/E32)</x:f>
      </x:c>
      <x:c r="V32" s="5" t="str">
        <x:f>IF(H32=0,"",SUMIFS('逐条表现'!$Q$7:$Q$196,'逐条表现'!$F$7:$F$196,"苏冰",'逐条表现'!$G$7:$G$196,"15m",'逐条表现'!$D$7:$D$196,"棕榈油")/H32)</x:f>
      </x:c>
      <x:c r="W32" s="16" t="n">
        <x:f>C32-K32-N32</x:f>
        <x:v>0</x:v>
      </x:c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</x:row>
    <x:row r="33" ht="27" customHeight="1">
      <x:c r="A33" s="2" t="str">
        <x:v>沥青 BU 苏冰</x:v>
      </x:c>
      <x:c r="B33" s="2" t="str">
        <x:v>15m</x:v>
      </x:c>
      <x:c r="C33" s="16" t="n">
        <x:f>COUNTIFS('逐条表现'!$F$7:$F$196,"苏冰",'逐条表现'!$G$7:$G$196,"15m",'逐条表现'!$D$7:$D$196,"沥青")</x:f>
        <x:v>4</x:v>
      </x:c>
      <x:c r="D33" s="16" t="n">
        <x:f>COUNTIFS('逐条表现'!$F$7:$F$196,"苏冰",'逐条表现'!$G$7:$G$196,"15m",'逐条表现'!$D$7:$D$196,"沥青",'逐条表现'!$N$7:$N$196,"&gt;0",'逐条表现'!$O$7:$O$196,"&gt;0")</x:f>
        <x:v>1</x:v>
      </x:c>
      <x:c r="E33" s="16" t="n">
        <x:f>COUNTIFS('逐条表现'!$F$7:$F$196,"苏冰",'逐条表现'!$G$7:$G$196,"15m",'逐条表现'!$D$7:$D$196,"沥青",'逐条表现'!$N$7:$N$196,"&gt;0")</x:f>
        <x:v>1</x:v>
      </x:c>
      <x:c r="F33" s="17" t="n">
        <x:f>IF(E33=0,"",D33/E33)</x:f>
        <x:v>1</x:v>
      </x:c>
      <x:c r="G33" s="16" t="n">
        <x:f>COUNTIFS('逐条表现'!$F$7:$F$196,"苏冰",'逐条表现'!$G$7:$G$196,"15m",'逐条表现'!$D$7:$D$196,"沥青",'逐条表现'!$P$7:$P$196,"&gt;0",'逐条表现'!$Q$7:$Q$196,"&gt;0")</x:f>
        <x:v>1</x:v>
      </x:c>
      <x:c r="H33" s="16" t="n">
        <x:f>COUNTIFS('逐条表现'!$F$7:$F$196,"苏冰",'逐条表现'!$G$7:$G$196,"15m",'逐条表现'!$D$7:$D$196,"沥青",'逐条表现'!$P$7:$P$196,"&gt;0")</x:f>
        <x:v>1</x:v>
      </x:c>
      <x:c r="I33" s="17" t="n">
        <x:f>IF(H33=0,"",G33/H33)</x:f>
        <x:v>1</x:v>
      </x:c>
      <x:c r="J33" s="16" t="n">
        <x:f>COUNTIFS('逐条表现'!$F$7:$F$196,"苏冰",'逐条表现'!$G$7:$G$196,"15m",'逐条表现'!$D$7:$D$196,"沥青",'逐条表现'!$R$7:$R$196,"&gt;0",'逐条表现'!$S$7:$S$196,"&gt;0")</x:f>
        <x:v>1</x:v>
      </x:c>
      <x:c r="K33" s="16" t="n">
        <x:f>COUNTIFS('逐条表现'!$F$7:$F$196,"苏冰",'逐条表现'!$G$7:$G$196,"15m",'逐条表现'!$D$7:$D$196,"沥青",'逐条表现'!$R$7:$R$196,"&gt;0")</x:f>
        <x:v>1</x:v>
      </x:c>
      <x:c r="L33" s="17" t="n">
        <x:f>IF(K33=0,"",J33/K33)</x:f>
        <x:v>1</x:v>
      </x:c>
      <x:c r="M33" s="5" t="n">
        <x:f>IF(K33=0,"",SUMIFS('逐条表现'!$S$7:$S$196,'逐条表现'!$F$7:$F$196,"苏冰",'逐条表现'!$G$7:$G$196,"15m",'逐条表现'!$D$7:$D$196,"沥青")/K33)</x:f>
        <x:v>0.002894076789504041</x:v>
      </x:c>
      <x:c r="N33" s="16" t="n">
        <x:f>C33-K33-COUNTIFS('逐条表现'!$F$7:$F$196,"苏冰",'逐条表现'!$G$7:$G$196,"15m",'逐条表现'!$D$7:$D$196,"沥青",'逐条表现'!$AK$7:$AK$196,"待观察")</x:f>
        <x:v>3</x:v>
      </x:c>
      <x:c r="O33" s="16" t="n">
        <x:f>COUNTIFS('逐条表现'!$F$7:$F$196,"苏冰",'逐条表现'!$G$7:$G$196,"15m",'逐条表现'!$D$7:$D$196,"沥青",'逐条表现'!$N$7:$N$196,"&gt;0",'逐条表现'!$O$7:$O$196,"&lt;0")</x:f>
        <x:v>0</x:v>
      </x:c>
      <x:c r="P33" s="16" t="n">
        <x:f>COUNTIFS('逐条表现'!$F$7:$F$196,"苏冰",'逐条表现'!$G$7:$G$196,"15m",'逐条表现'!$D$7:$D$196,"沥青",'逐条表现'!$N$7:$N$196,"&gt;0",'逐条表现'!$O$7:$O$196,"=0")</x:f>
        <x:v>0</x:v>
      </x:c>
      <x:c r="Q33" s="16" t="n">
        <x:f>COUNTIFS('逐条表现'!$F$7:$F$196,"苏冰",'逐条表现'!$G$7:$G$196,"15m",'逐条表现'!$D$7:$D$196,"沥青",'逐条表现'!$P$7:$P$196,"&gt;0",'逐条表现'!$Q$7:$Q$196,"&lt;0")</x:f>
        <x:v>0</x:v>
      </x:c>
      <x:c r="R33" s="16" t="n">
        <x:f>COUNTIFS('逐条表现'!$F$7:$F$196,"苏冰",'逐条表现'!$G$7:$G$196,"15m",'逐条表现'!$D$7:$D$196,"沥青",'逐条表现'!$P$7:$P$196,"&gt;0",'逐条表现'!$Q$7:$Q$196,"=0")</x:f>
        <x:v>0</x:v>
      </x:c>
      <x:c r="S33" s="16" t="n">
        <x:f>COUNTIFS('逐条表现'!$F$7:$F$196,"苏冰",'逐条表现'!$G$7:$G$196,"15m",'逐条表现'!$D$7:$D$196,"沥青",'逐条表现'!$R$7:$R$196,"&gt;0",'逐条表现'!$S$7:$S$196,"&lt;0")</x:f>
        <x:v>0</x:v>
      </x:c>
      <x:c r="T33" s="16" t="n">
        <x:f>COUNTIFS('逐条表现'!$F$7:$F$196,"苏冰",'逐条表现'!$G$7:$G$196,"15m",'逐条表现'!$D$7:$D$196,"沥青",'逐条表现'!$R$7:$R$196,"&gt;0",'逐条表现'!$S$7:$S$196,"=0")</x:f>
        <x:v>0</x:v>
      </x:c>
      <x:c r="U33" s="5" t="n">
        <x:f>IF(E33=0,"",SUMIFS('逐条表现'!$O$7:$O$196,'逐条表现'!$F$7:$F$196,"苏冰",'逐条表现'!$G$7:$G$196,"15m",'逐条表现'!$D$7:$D$196,"沥青")/E33)</x:f>
        <x:v>0.0025081998842368947</x:v>
      </x:c>
      <x:c r="V33" s="5" t="n">
        <x:f>IF(H33=0,"",SUMIFS('逐条表现'!$Q$7:$Q$196,'逐条表现'!$F$7:$F$196,"苏冰",'逐条表现'!$G$7:$G$196,"15m",'逐条表现'!$D$7:$D$196,"沥青")/H33)</x:f>
        <x:v>0.005981092031641877</x:v>
      </x:c>
      <x:c r="W33" s="16" t="n">
        <x:f>C33-K33-N33</x:f>
        <x:v>0</x:v>
      </x:c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</x:row>
    <x:row r="34" ht="27" customHeight="1">
      <x:c r="A34" s="2" t="str">
        <x:v>液化石油气 PG 苏冰</x:v>
      </x:c>
      <x:c r="B34" s="2" t="str">
        <x:v>15m</x:v>
      </x:c>
      <x:c r="C34" s="16" t="n">
        <x:f>COUNTIFS('逐条表现'!$F$7:$F$196,"苏冰",'逐条表现'!$G$7:$G$196,"15m",'逐条表现'!$D$7:$D$196,"液化石油气")</x:f>
        <x:v>5</x:v>
      </x:c>
      <x:c r="D34" s="16" t="n">
        <x:f>COUNTIFS('逐条表现'!$F$7:$F$196,"苏冰",'逐条表现'!$G$7:$G$196,"15m",'逐条表现'!$D$7:$D$196,"液化石油气",'逐条表现'!$N$7:$N$196,"&gt;0",'逐条表现'!$O$7:$O$196,"&gt;0")</x:f>
        <x:v>0</x:v>
      </x:c>
      <x:c r="E34" s="16" t="n">
        <x:f>COUNTIFS('逐条表现'!$F$7:$F$196,"苏冰",'逐条表现'!$G$7:$G$196,"15m",'逐条表现'!$D$7:$D$196,"液化石油气",'逐条表现'!$N$7:$N$196,"&gt;0")</x:f>
        <x:v>2</x:v>
      </x:c>
      <x:c r="F34" s="17" t="n">
        <x:f>IF(E34=0,"",D34/E34)</x:f>
        <x:v>0</x:v>
      </x:c>
      <x:c r="G34" s="16" t="n">
        <x:f>COUNTIFS('逐条表现'!$F$7:$F$196,"苏冰",'逐条表现'!$G$7:$G$196,"15m",'逐条表现'!$D$7:$D$196,"液化石油气",'逐条表现'!$P$7:$P$196,"&gt;0",'逐条表现'!$Q$7:$Q$196,"&gt;0")</x:f>
        <x:v>1</x:v>
      </x:c>
      <x:c r="H34" s="16" t="n">
        <x:f>COUNTIFS('逐条表现'!$F$7:$F$196,"苏冰",'逐条表现'!$G$7:$G$196,"15m",'逐条表现'!$D$7:$D$196,"液化石油气",'逐条表现'!$P$7:$P$196,"&gt;0")</x:f>
        <x:v>2</x:v>
      </x:c>
      <x:c r="I34" s="17" t="n">
        <x:f>IF(H34=0,"",G34/H34)</x:f>
        <x:v>0.5</x:v>
      </x:c>
      <x:c r="J34" s="16" t="n">
        <x:f>COUNTIFS('逐条表现'!$F$7:$F$196,"苏冰",'逐条表现'!$G$7:$G$196,"15m",'逐条表现'!$D$7:$D$196,"液化石油气",'逐条表现'!$R$7:$R$196,"&gt;0",'逐条表现'!$S$7:$S$196,"&gt;0")</x:f>
        <x:v>0</x:v>
      </x:c>
      <x:c r="K34" s="16" t="n">
        <x:f>COUNTIFS('逐条表现'!$F$7:$F$196,"苏冰",'逐条表现'!$G$7:$G$196,"15m",'逐条表现'!$D$7:$D$196,"液化石油气",'逐条表现'!$R$7:$R$196,"&gt;0")</x:f>
        <x:v>1</x:v>
      </x:c>
      <x:c r="L34" s="17" t="n">
        <x:f>IF(K34=0,"",J34/K34)</x:f>
        <x:v>0</x:v>
      </x:c>
      <x:c r="M34" s="5" t="n">
        <x:f>IF(K34=0,"",SUMIFS('逐条表现'!$S$7:$S$196,'逐条表现'!$F$7:$F$196,"苏冰",'逐条表现'!$G$7:$G$196,"15m",'逐条表现'!$D$7:$D$196,"液化石油气")/K34)</x:f>
        <x:v>-0.0015130882130427459</x:v>
      </x:c>
      <x:c r="N34" s="16" t="n">
        <x:f>C34-K34-COUNTIFS('逐条表现'!$F$7:$F$196,"苏冰",'逐条表现'!$G$7:$G$196,"15m",'逐条表现'!$D$7:$D$196,"液化石油气",'逐条表现'!$AK$7:$AK$196,"待观察")</x:f>
        <x:v>4</x:v>
      </x:c>
      <x:c r="O34" s="16" t="n">
        <x:f>COUNTIFS('逐条表现'!$F$7:$F$196,"苏冰",'逐条表现'!$G$7:$G$196,"15m",'逐条表现'!$D$7:$D$196,"液化石油气",'逐条表现'!$N$7:$N$196,"&gt;0",'逐条表现'!$O$7:$O$196,"&lt;0")</x:f>
        <x:v>2</x:v>
      </x:c>
      <x:c r="P34" s="16" t="n">
        <x:f>COUNTIFS('逐条表现'!$F$7:$F$196,"苏冰",'逐条表现'!$G$7:$G$196,"15m",'逐条表现'!$D$7:$D$196,"液化石油气",'逐条表现'!$N$7:$N$196,"&gt;0",'逐条表现'!$O$7:$O$196,"=0")</x:f>
        <x:v>0</x:v>
      </x:c>
      <x:c r="Q34" s="16" t="n">
        <x:f>COUNTIFS('逐条表现'!$F$7:$F$196,"苏冰",'逐条表现'!$G$7:$G$196,"15m",'逐条表现'!$D$7:$D$196,"液化石油气",'逐条表现'!$P$7:$P$196,"&gt;0",'逐条表现'!$Q$7:$Q$196,"&lt;0")</x:f>
        <x:v>1</x:v>
      </x:c>
      <x:c r="R34" s="16" t="n">
        <x:f>COUNTIFS('逐条表现'!$F$7:$F$196,"苏冰",'逐条表现'!$G$7:$G$196,"15m",'逐条表现'!$D$7:$D$196,"液化石油气",'逐条表现'!$P$7:$P$196,"&gt;0",'逐条表现'!$Q$7:$Q$196,"=0")</x:f>
        <x:v>0</x:v>
      </x:c>
      <x:c r="S34" s="16" t="n">
        <x:f>COUNTIFS('逐条表现'!$F$7:$F$196,"苏冰",'逐条表现'!$G$7:$G$196,"15m",'逐条表现'!$D$7:$D$196,"液化石油气",'逐条表现'!$R$7:$R$196,"&gt;0",'逐条表现'!$S$7:$S$196,"&lt;0")</x:f>
        <x:v>1</x:v>
      </x:c>
      <x:c r="T34" s="16" t="n">
        <x:f>COUNTIFS('逐条表现'!$F$7:$F$196,"苏冰",'逐条表现'!$G$7:$G$196,"15m",'逐条表现'!$D$7:$D$196,"液化石油气",'逐条表现'!$R$7:$R$196,"&gt;0",'逐条表现'!$S$7:$S$196,"=0")</x:f>
        <x:v>0</x:v>
      </x:c>
      <x:c r="U34" s="5" t="n">
        <x:f>IF(E34=0,"",SUMIFS('逐条表现'!$O$7:$O$196,'逐条表现'!$F$7:$F$196,"苏冰",'逐条表现'!$G$7:$G$196,"15m",'逐条表现'!$D$7:$D$196,"液化石油气")/E34)</x:f>
        <x:v>-0.0021146815405115316</x:v>
      </x:c>
      <x:c r="V34" s="5" t="n">
        <x:f>IF(H34=0,"",SUMIFS('逐条表现'!$Q$7:$Q$196,'逐条表现'!$F$7:$F$196,"苏冰",'逐条表现'!$G$7:$G$196,"15m",'逐条表现'!$D$7:$D$196,"液化石油气")/H34)</x:f>
        <x:v>0.0029369484612482566</x:v>
      </x:c>
      <x:c r="W34" s="16" t="n">
        <x:f>C34-K34-N34</x:f>
        <x:v>0</x:v>
      </x:c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</x:row>
    <x:row r="35" ht="27" customHeight="1">
      <x:c r="A35" s="2" t="str">
        <x:v>烧碱 SH 苏冰</x:v>
      </x:c>
      <x:c r="B35" s="2" t="str">
        <x:v>15m</x:v>
      </x:c>
      <x:c r="C35" s="16" t="n">
        <x:f>COUNTIFS('逐条表现'!$F$7:$F$196,"苏冰",'逐条表现'!$G$7:$G$196,"15m",'逐条表现'!$D$7:$D$196,"烧碱")</x:f>
        <x:v>2</x:v>
      </x:c>
      <x:c r="D35" s="16" t="n">
        <x:f>COUNTIFS('逐条表现'!$F$7:$F$196,"苏冰",'逐条表现'!$G$7:$G$196,"15m",'逐条表现'!$D$7:$D$196,"烧碱",'逐条表现'!$N$7:$N$196,"&gt;0",'逐条表现'!$O$7:$O$196,"&gt;0")</x:f>
        <x:v>1</x:v>
      </x:c>
      <x:c r="E35" s="16" t="n">
        <x:f>COUNTIFS('逐条表现'!$F$7:$F$196,"苏冰",'逐条表现'!$G$7:$G$196,"15m",'逐条表现'!$D$7:$D$196,"烧碱",'逐条表现'!$N$7:$N$196,"&gt;0")</x:f>
        <x:v>1</x:v>
      </x:c>
      <x:c r="F35" s="17" t="n">
        <x:f>IF(E35=0,"",D35/E35)</x:f>
        <x:v>1</x:v>
      </x:c>
      <x:c r="G35" s="16" t="n">
        <x:f>COUNTIFS('逐条表现'!$F$7:$F$196,"苏冰",'逐条表现'!$G$7:$G$196,"15m",'逐条表现'!$D$7:$D$196,"烧碱",'逐条表现'!$P$7:$P$196,"&gt;0",'逐条表现'!$Q$7:$Q$196,"&gt;0")</x:f>
        <x:v>1</x:v>
      </x:c>
      <x:c r="H35" s="16" t="n">
        <x:f>COUNTIFS('逐条表现'!$F$7:$F$196,"苏冰",'逐条表现'!$G$7:$G$196,"15m",'逐条表现'!$D$7:$D$196,"烧碱",'逐条表现'!$P$7:$P$196,"&gt;0")</x:f>
        <x:v>1</x:v>
      </x:c>
      <x:c r="I35" s="17" t="n">
        <x:f>IF(H35=0,"",G35/H35)</x:f>
        <x:v>1</x:v>
      </x:c>
      <x:c r="J35" s="16" t="n">
        <x:f>COUNTIFS('逐条表现'!$F$7:$F$196,"苏冰",'逐条表现'!$G$7:$G$196,"15m",'逐条表现'!$D$7:$D$196,"烧碱",'逐条表现'!$R$7:$R$196,"&gt;0",'逐条表现'!$S$7:$S$196,"&gt;0")</x:f>
        <x:v>1</x:v>
      </x:c>
      <x:c r="K35" s="16" t="n">
        <x:f>COUNTIFS('逐条表现'!$F$7:$F$196,"苏冰",'逐条表现'!$G$7:$G$196,"15m",'逐条表现'!$D$7:$D$196,"烧碱",'逐条表现'!$R$7:$R$196,"&gt;0")</x:f>
        <x:v>1</x:v>
      </x:c>
      <x:c r="L35" s="17" t="n">
        <x:f>IF(K35=0,"",J35/K35)</x:f>
        <x:v>1</x:v>
      </x:c>
      <x:c r="M35" s="5" t="n">
        <x:f>IF(K35=0,"",SUMIFS('逐条表现'!$S$7:$S$196,'逐条表现'!$F$7:$F$196,"苏冰",'逐条表现'!$G$7:$G$196,"15m",'逐条表现'!$D$7:$D$196,"烧碱")/K35)</x:f>
        <x:v>0.01238390092879249</x:v>
      </x:c>
      <x:c r="N35" s="16" t="n">
        <x:f>C35-K35-COUNTIFS('逐条表现'!$F$7:$F$196,"苏冰",'逐条表现'!$G$7:$G$196,"15m",'逐条表现'!$D$7:$D$196,"烧碱",'逐条表现'!$AK$7:$AK$196,"待观察")</x:f>
        <x:v>1</x:v>
      </x:c>
      <x:c r="O35" s="16" t="n">
        <x:f>COUNTIFS('逐条表现'!$F$7:$F$196,"苏冰",'逐条表现'!$G$7:$G$196,"15m",'逐条表现'!$D$7:$D$196,"烧碱",'逐条表现'!$N$7:$N$196,"&gt;0",'逐条表现'!$O$7:$O$196,"&lt;0")</x:f>
        <x:v>0</x:v>
      </x:c>
      <x:c r="P35" s="16" t="n">
        <x:f>COUNTIFS('逐条表现'!$F$7:$F$196,"苏冰",'逐条表现'!$G$7:$G$196,"15m",'逐条表现'!$D$7:$D$196,"烧碱",'逐条表现'!$N$7:$N$196,"&gt;0",'逐条表现'!$O$7:$O$196,"=0")</x:f>
        <x:v>0</x:v>
      </x:c>
      <x:c r="Q35" s="16" t="n">
        <x:f>COUNTIFS('逐条表现'!$F$7:$F$196,"苏冰",'逐条表现'!$G$7:$G$196,"15m",'逐条表现'!$D$7:$D$196,"烧碱",'逐条表现'!$P$7:$P$196,"&gt;0",'逐条表现'!$Q$7:$Q$196,"&lt;0")</x:f>
        <x:v>0</x:v>
      </x:c>
      <x:c r="R35" s="16" t="n">
        <x:f>COUNTIFS('逐条表现'!$F$7:$F$196,"苏冰",'逐条表现'!$G$7:$G$196,"15m",'逐条表现'!$D$7:$D$196,"烧碱",'逐条表现'!$P$7:$P$196,"&gt;0",'逐条表现'!$Q$7:$Q$196,"=0")</x:f>
        <x:v>0</x:v>
      </x:c>
      <x:c r="S35" s="16" t="n">
        <x:f>COUNTIFS('逐条表现'!$F$7:$F$196,"苏冰",'逐条表现'!$G$7:$G$196,"15m",'逐条表现'!$D$7:$D$196,"烧碱",'逐条表现'!$R$7:$R$196,"&gt;0",'逐条表现'!$S$7:$S$196,"&lt;0")</x:f>
        <x:v>0</x:v>
      </x:c>
      <x:c r="T35" s="16" t="n">
        <x:f>COUNTIFS('逐条表现'!$F$7:$F$196,"苏冰",'逐条表现'!$G$7:$G$196,"15m",'逐条表现'!$D$7:$D$196,"烧碱",'逐条表现'!$R$7:$R$196,"&gt;0",'逐条表现'!$S$7:$S$196,"=0")</x:f>
        <x:v>0</x:v>
      </x:c>
      <x:c r="U35" s="5" t="n">
        <x:f>IF(E35=0,"",SUMIFS('逐条表现'!$O$7:$O$196,'逐条表现'!$F$7:$F$196,"苏冰",'逐条表现'!$G$7:$G$196,"15m",'逐条表现'!$D$7:$D$196,"烧碱")/E35)</x:f>
        <x:v>0.0025799793601650745</x:v>
      </x:c>
      <x:c r="V35" s="5" t="n">
        <x:f>IF(H35=0,"",SUMIFS('逐条表现'!$Q$7:$Q$196,'逐条表现'!$F$7:$F$196,"苏冰",'逐条表现'!$G$7:$G$196,"15m",'逐条表现'!$D$7:$D$196,"烧碱")/H35)</x:f>
        <x:v>0.00361197110423106</x:v>
      </x:c>
      <x:c r="W35" s="16" t="n">
        <x:f>C35-K35-N35</x:f>
        <x:v>0</x:v>
      </x:c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</x:row>
    <x:row r="36" ht="27" customHeight="1">
      <x:c r="A36" s="2" t="str">
        <x:v>热轧卷板 HC 苏冰</x:v>
      </x:c>
      <x:c r="B36" s="2" t="str">
        <x:v>15m</x:v>
      </x:c>
      <x:c r="C36" s="16" t="n">
        <x:f>COUNTIFS('逐条表现'!$F$7:$F$196,"苏冰",'逐条表现'!$G$7:$G$196,"15m",'逐条表现'!$D$7:$D$196,"热轧卷板")</x:f>
        <x:v>3</x:v>
      </x:c>
      <x:c r="D36" s="16" t="n">
        <x:f>COUNTIFS('逐条表现'!$F$7:$F$196,"苏冰",'逐条表现'!$G$7:$G$196,"15m",'逐条表现'!$D$7:$D$196,"热轧卷板",'逐条表现'!$N$7:$N$196,"&gt;0",'逐条表现'!$O$7:$O$196,"&gt;0")</x:f>
        <x:v>0</x:v>
      </x:c>
      <x:c r="E36" s="16" t="n">
        <x:f>COUNTIFS('逐条表现'!$F$7:$F$196,"苏冰",'逐条表现'!$G$7:$G$196,"15m",'逐条表现'!$D$7:$D$196,"热轧卷板",'逐条表现'!$N$7:$N$196,"&gt;0")</x:f>
        <x:v>0</x:v>
      </x:c>
      <x:c r="F36" s="17" t="str">
        <x:f>IF(E36=0,"",D36/E36)</x:f>
      </x:c>
      <x:c r="G36" s="16" t="n">
        <x:f>COUNTIFS('逐条表现'!$F$7:$F$196,"苏冰",'逐条表现'!$G$7:$G$196,"15m",'逐条表现'!$D$7:$D$196,"热轧卷板",'逐条表现'!$P$7:$P$196,"&gt;0",'逐条表现'!$Q$7:$Q$196,"&gt;0")</x:f>
        <x:v>0</x:v>
      </x:c>
      <x:c r="H36" s="16" t="n">
        <x:f>COUNTIFS('逐条表现'!$F$7:$F$196,"苏冰",'逐条表现'!$G$7:$G$196,"15m",'逐条表现'!$D$7:$D$196,"热轧卷板",'逐条表现'!$P$7:$P$196,"&gt;0")</x:f>
        <x:v>0</x:v>
      </x:c>
      <x:c r="I36" s="17" t="str">
        <x:f>IF(H36=0,"",G36/H36)</x:f>
      </x:c>
      <x:c r="J36" s="16" t="n">
        <x:f>COUNTIFS('逐条表现'!$F$7:$F$196,"苏冰",'逐条表现'!$G$7:$G$196,"15m",'逐条表现'!$D$7:$D$196,"热轧卷板",'逐条表现'!$R$7:$R$196,"&gt;0",'逐条表现'!$S$7:$S$196,"&gt;0")</x:f>
        <x:v>0</x:v>
      </x:c>
      <x:c r="K36" s="16" t="n">
        <x:f>COUNTIFS('逐条表现'!$F$7:$F$196,"苏冰",'逐条表现'!$G$7:$G$196,"15m",'逐条表现'!$D$7:$D$196,"热轧卷板",'逐条表现'!$R$7:$R$196,"&gt;0")</x:f>
        <x:v>0</x:v>
      </x:c>
      <x:c r="L36" s="17" t="str">
        <x:f>IF(K36=0,"",J36/K36)</x:f>
      </x:c>
      <x:c r="M36" s="5" t="str">
        <x:f>IF(K36=0,"",SUMIFS('逐条表现'!$S$7:$S$196,'逐条表现'!$F$7:$F$196,"苏冰",'逐条表现'!$G$7:$G$196,"15m",'逐条表现'!$D$7:$D$196,"热轧卷板")/K36)</x:f>
      </x:c>
      <x:c r="N36" s="16" t="n">
        <x:f>C36-K36-COUNTIFS('逐条表现'!$F$7:$F$196,"苏冰",'逐条表现'!$G$7:$G$196,"15m",'逐条表现'!$D$7:$D$196,"热轧卷板",'逐条表现'!$AK$7:$AK$196,"待观察")</x:f>
        <x:v>3</x:v>
      </x:c>
      <x:c r="O36" s="16" t="n">
        <x:f>COUNTIFS('逐条表现'!$F$7:$F$196,"苏冰",'逐条表现'!$G$7:$G$196,"15m",'逐条表现'!$D$7:$D$196,"热轧卷板",'逐条表现'!$N$7:$N$196,"&gt;0",'逐条表现'!$O$7:$O$196,"&lt;0")</x:f>
        <x:v>0</x:v>
      </x:c>
      <x:c r="P36" s="16" t="n">
        <x:f>COUNTIFS('逐条表现'!$F$7:$F$196,"苏冰",'逐条表现'!$G$7:$G$196,"15m",'逐条表现'!$D$7:$D$196,"热轧卷板",'逐条表现'!$N$7:$N$196,"&gt;0",'逐条表现'!$O$7:$O$196,"=0")</x:f>
        <x:v>0</x:v>
      </x:c>
      <x:c r="Q36" s="16" t="n">
        <x:f>COUNTIFS('逐条表现'!$F$7:$F$196,"苏冰",'逐条表现'!$G$7:$G$196,"15m",'逐条表现'!$D$7:$D$196,"热轧卷板",'逐条表现'!$P$7:$P$196,"&gt;0",'逐条表现'!$Q$7:$Q$196,"&lt;0")</x:f>
        <x:v>0</x:v>
      </x:c>
      <x:c r="R36" s="16" t="n">
        <x:f>COUNTIFS('逐条表现'!$F$7:$F$196,"苏冰",'逐条表现'!$G$7:$G$196,"15m",'逐条表现'!$D$7:$D$196,"热轧卷板",'逐条表现'!$P$7:$P$196,"&gt;0",'逐条表现'!$Q$7:$Q$196,"=0")</x:f>
        <x:v>0</x:v>
      </x:c>
      <x:c r="S36" s="16" t="n">
        <x:f>COUNTIFS('逐条表现'!$F$7:$F$196,"苏冰",'逐条表现'!$G$7:$G$196,"15m",'逐条表现'!$D$7:$D$196,"热轧卷板",'逐条表现'!$R$7:$R$196,"&gt;0",'逐条表现'!$S$7:$S$196,"&lt;0")</x:f>
        <x:v>0</x:v>
      </x:c>
      <x:c r="T36" s="16" t="n">
        <x:f>COUNTIFS('逐条表现'!$F$7:$F$196,"苏冰",'逐条表现'!$G$7:$G$196,"15m",'逐条表现'!$D$7:$D$196,"热轧卷板",'逐条表现'!$R$7:$R$196,"&gt;0",'逐条表现'!$S$7:$S$196,"=0")</x:f>
        <x:v>0</x:v>
      </x:c>
      <x:c r="U36" s="5" t="str">
        <x:f>IF(E36=0,"",SUMIFS('逐条表现'!$O$7:$O$196,'逐条表现'!$F$7:$F$196,"苏冰",'逐条表现'!$G$7:$G$196,"15m",'逐条表现'!$D$7:$D$196,"热轧卷板")/E36)</x:f>
      </x:c>
      <x:c r="V36" s="5" t="str">
        <x:f>IF(H36=0,"",SUMIFS('逐条表现'!$Q$7:$Q$196,'逐条表现'!$F$7:$F$196,"苏冰",'逐条表现'!$G$7:$G$196,"15m",'逐条表现'!$D$7:$D$196,"热轧卷板")/H36)</x:f>
      </x:c>
      <x:c r="W36" s="16" t="n">
        <x:f>C36-K36-N36</x:f>
        <x:v>0</x:v>
      </x:c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</x:row>
    <x:row r="37" ht="27" customHeight="1">
      <x:c r="A37" s="2" t="str">
        <x:v>燃料油 FU 苏冰</x:v>
      </x:c>
      <x:c r="B37" s="2" t="str">
        <x:v>15m</x:v>
      </x:c>
      <x:c r="C37" s="16" t="n">
        <x:f>COUNTIFS('逐条表现'!$F$7:$F$196,"苏冰",'逐条表现'!$G$7:$G$196,"15m",'逐条表现'!$D$7:$D$196,"燃料油")</x:f>
        <x:v>4</x:v>
      </x:c>
      <x:c r="D37" s="16" t="n">
        <x:f>COUNTIFS('逐条表现'!$F$7:$F$196,"苏冰",'逐条表现'!$G$7:$G$196,"15m",'逐条表现'!$D$7:$D$196,"燃料油",'逐条表现'!$N$7:$N$196,"&gt;0",'逐条表现'!$O$7:$O$196,"&gt;0")</x:f>
        <x:v>1</x:v>
      </x:c>
      <x:c r="E37" s="16" t="n">
        <x:f>COUNTIFS('逐条表现'!$F$7:$F$196,"苏冰",'逐条表现'!$G$7:$G$196,"15m",'逐条表现'!$D$7:$D$196,"燃料油",'逐条表现'!$N$7:$N$196,"&gt;0")</x:f>
        <x:v>1</x:v>
      </x:c>
      <x:c r="F37" s="17" t="n">
        <x:f>IF(E37=0,"",D37/E37)</x:f>
        <x:v>1</x:v>
      </x:c>
      <x:c r="G37" s="16" t="n">
        <x:f>COUNTIFS('逐条表现'!$F$7:$F$196,"苏冰",'逐条表现'!$G$7:$G$196,"15m",'逐条表现'!$D$7:$D$196,"燃料油",'逐条表现'!$P$7:$P$196,"&gt;0",'逐条表现'!$Q$7:$Q$196,"&gt;0")</x:f>
        <x:v>1</x:v>
      </x:c>
      <x:c r="H37" s="16" t="n">
        <x:f>COUNTIFS('逐条表现'!$F$7:$F$196,"苏冰",'逐条表现'!$G$7:$G$196,"15m",'逐条表现'!$D$7:$D$196,"燃料油",'逐条表现'!$P$7:$P$196,"&gt;0")</x:f>
        <x:v>1</x:v>
      </x:c>
      <x:c r="I37" s="17" t="n">
        <x:f>IF(H37=0,"",G37/H37)</x:f>
        <x:v>1</x:v>
      </x:c>
      <x:c r="J37" s="16" t="n">
        <x:f>COUNTIFS('逐条表现'!$F$7:$F$196,"苏冰",'逐条表现'!$G$7:$G$196,"15m",'逐条表现'!$D$7:$D$196,"燃料油",'逐条表现'!$R$7:$R$196,"&gt;0",'逐条表现'!$S$7:$S$196,"&gt;0")</x:f>
        <x:v>1</x:v>
      </x:c>
      <x:c r="K37" s="16" t="n">
        <x:f>COUNTIFS('逐条表现'!$F$7:$F$196,"苏冰",'逐条表现'!$G$7:$G$196,"15m",'逐条表现'!$D$7:$D$196,"燃料油",'逐条表现'!$R$7:$R$196,"&gt;0")</x:f>
        <x:v>1</x:v>
      </x:c>
      <x:c r="L37" s="17" t="n">
        <x:f>IF(K37=0,"",J37/K37)</x:f>
        <x:v>1</x:v>
      </x:c>
      <x:c r="M37" s="5" t="n">
        <x:f>IF(K37=0,"",SUMIFS('逐条表现'!$S$7:$S$196,'逐条表现'!$F$7:$F$196,"苏冰",'逐条表现'!$G$7:$G$196,"15m",'逐条表现'!$D$7:$D$196,"燃料油")/K37)</x:f>
        <x:v>0.010178117048346147</x:v>
      </x:c>
      <x:c r="N37" s="16" t="n">
        <x:f>C37-K37-COUNTIFS('逐条表现'!$F$7:$F$196,"苏冰",'逐条表现'!$G$7:$G$196,"15m",'逐条表现'!$D$7:$D$196,"燃料油",'逐条表现'!$AK$7:$AK$196,"待观察")</x:f>
        <x:v>3</x:v>
      </x:c>
      <x:c r="O37" s="16" t="n">
        <x:f>COUNTIFS('逐条表现'!$F$7:$F$196,"苏冰",'逐条表现'!$G$7:$G$196,"15m",'逐条表现'!$D$7:$D$196,"燃料油",'逐条表现'!$N$7:$N$196,"&gt;0",'逐条表现'!$O$7:$O$196,"&lt;0")</x:f>
        <x:v>0</x:v>
      </x:c>
      <x:c r="P37" s="16" t="n">
        <x:f>COUNTIFS('逐条表现'!$F$7:$F$196,"苏冰",'逐条表现'!$G$7:$G$196,"15m",'逐条表现'!$D$7:$D$196,"燃料油",'逐条表现'!$N$7:$N$196,"&gt;0",'逐条表现'!$O$7:$O$196,"=0")</x:f>
        <x:v>0</x:v>
      </x:c>
      <x:c r="Q37" s="16" t="n">
        <x:f>COUNTIFS('逐条表现'!$F$7:$F$196,"苏冰",'逐条表现'!$G$7:$G$196,"15m",'逐条表现'!$D$7:$D$196,"燃料油",'逐条表现'!$P$7:$P$196,"&gt;0",'逐条表现'!$Q$7:$Q$196,"&lt;0")</x:f>
        <x:v>0</x:v>
      </x:c>
      <x:c r="R37" s="16" t="n">
        <x:f>COUNTIFS('逐条表现'!$F$7:$F$196,"苏冰",'逐条表现'!$G$7:$G$196,"15m",'逐条表现'!$D$7:$D$196,"燃料油",'逐条表现'!$P$7:$P$196,"&gt;0",'逐条表现'!$Q$7:$Q$196,"=0")</x:f>
        <x:v>0</x:v>
      </x:c>
      <x:c r="S37" s="16" t="n">
        <x:f>COUNTIFS('逐条表现'!$F$7:$F$196,"苏冰",'逐条表现'!$G$7:$G$196,"15m",'逐条表现'!$D$7:$D$196,"燃料油",'逐条表现'!$R$7:$R$196,"&gt;0",'逐条表现'!$S$7:$S$196,"&lt;0")</x:f>
        <x:v>0</x:v>
      </x:c>
      <x:c r="T37" s="16" t="n">
        <x:f>COUNTIFS('逐条表现'!$F$7:$F$196,"苏冰",'逐条表现'!$G$7:$G$196,"15m",'逐条表现'!$D$7:$D$196,"燃料油",'逐条表现'!$R$7:$R$196,"&gt;0",'逐条表现'!$S$7:$S$196,"=0")</x:f>
        <x:v>0</x:v>
      </x:c>
      <x:c r="U37" s="5" t="n">
        <x:f>IF(E37=0,"",SUMIFS('逐条表现'!$O$7:$O$196,'逐条表现'!$F$7:$F$196,"苏冰",'逐条表现'!$G$7:$G$196,"15m",'逐条表现'!$D$7:$D$196,"燃料油")/E37)</x:f>
        <x:v>0.003816793893129722</x:v>
      </x:c>
      <x:c r="V37" s="5" t="n">
        <x:f>IF(H37=0,"",SUMIFS('逐条表现'!$Q$7:$Q$196,'逐条表现'!$F$7:$F$196,"苏冰",'逐条表现'!$G$7:$G$196,"15m",'逐条表现'!$D$7:$D$196,"燃料油")/H37)</x:f>
        <x:v>0.007379134860050929</x:v>
      </x:c>
      <x:c r="W37" s="16" t="n">
        <x:f>C37-K37-N37</x:f>
        <x:v>0</x:v>
      </x:c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</x:row>
    <x:row r="38" ht="27" customHeight="1">
      <x:c r="A38" s="2" t="str">
        <x:v>玉米 C 苏冰</x:v>
      </x:c>
      <x:c r="B38" s="2" t="str">
        <x:v>15m</x:v>
      </x:c>
      <x:c r="C38" s="16" t="n">
        <x:f>COUNTIFS('逐条表现'!$F$7:$F$196,"苏冰",'逐条表现'!$G$7:$G$196,"15m",'逐条表现'!$D$7:$D$196,"玉米")</x:f>
        <x:v>2</x:v>
      </x:c>
      <x:c r="D38" s="16" t="n">
        <x:f>COUNTIFS('逐条表现'!$F$7:$F$196,"苏冰",'逐条表现'!$G$7:$G$196,"15m",'逐条表现'!$D$7:$D$196,"玉米",'逐条表现'!$N$7:$N$196,"&gt;0",'逐条表现'!$O$7:$O$196,"&gt;0")</x:f>
        <x:v>0</x:v>
      </x:c>
      <x:c r="E38" s="16" t="n">
        <x:f>COUNTIFS('逐条表现'!$F$7:$F$196,"苏冰",'逐条表现'!$G$7:$G$196,"15m",'逐条表现'!$D$7:$D$196,"玉米",'逐条表现'!$N$7:$N$196,"&gt;0")</x:f>
        <x:v>0</x:v>
      </x:c>
      <x:c r="F38" s="17" t="str">
        <x:f>IF(E38=0,"",D38/E38)</x:f>
      </x:c>
      <x:c r="G38" s="16" t="n">
        <x:f>COUNTIFS('逐条表现'!$F$7:$F$196,"苏冰",'逐条表现'!$G$7:$G$196,"15m",'逐条表现'!$D$7:$D$196,"玉米",'逐条表现'!$P$7:$P$196,"&gt;0",'逐条表现'!$Q$7:$Q$196,"&gt;0")</x:f>
        <x:v>0</x:v>
      </x:c>
      <x:c r="H38" s="16" t="n">
        <x:f>COUNTIFS('逐条表现'!$F$7:$F$196,"苏冰",'逐条表现'!$G$7:$G$196,"15m",'逐条表现'!$D$7:$D$196,"玉米",'逐条表现'!$P$7:$P$196,"&gt;0")</x:f>
        <x:v>0</x:v>
      </x:c>
      <x:c r="I38" s="17" t="str">
        <x:f>IF(H38=0,"",G38/H38)</x:f>
      </x:c>
      <x:c r="J38" s="16" t="n">
        <x:f>COUNTIFS('逐条表现'!$F$7:$F$196,"苏冰",'逐条表现'!$G$7:$G$196,"15m",'逐条表现'!$D$7:$D$196,"玉米",'逐条表现'!$R$7:$R$196,"&gt;0",'逐条表现'!$S$7:$S$196,"&gt;0")</x:f>
        <x:v>0</x:v>
      </x:c>
      <x:c r="K38" s="16" t="n">
        <x:f>COUNTIFS('逐条表现'!$F$7:$F$196,"苏冰",'逐条表现'!$G$7:$G$196,"15m",'逐条表现'!$D$7:$D$196,"玉米",'逐条表现'!$R$7:$R$196,"&gt;0")</x:f>
        <x:v>0</x:v>
      </x:c>
      <x:c r="L38" s="17" t="str">
        <x:f>IF(K38=0,"",J38/K38)</x:f>
      </x:c>
      <x:c r="M38" s="5" t="str">
        <x:f>IF(K38=0,"",SUMIFS('逐条表现'!$S$7:$S$196,'逐条表现'!$F$7:$F$196,"苏冰",'逐条表现'!$G$7:$G$196,"15m",'逐条表现'!$D$7:$D$196,"玉米")/K38)</x:f>
      </x:c>
      <x:c r="N38" s="16" t="n">
        <x:f>C38-K38-COUNTIFS('逐条表现'!$F$7:$F$196,"苏冰",'逐条表现'!$G$7:$G$196,"15m",'逐条表现'!$D$7:$D$196,"玉米",'逐条表现'!$AK$7:$AK$196,"待观察")</x:f>
        <x:v>2</x:v>
      </x:c>
      <x:c r="O38" s="16" t="n">
        <x:f>COUNTIFS('逐条表现'!$F$7:$F$196,"苏冰",'逐条表现'!$G$7:$G$196,"15m",'逐条表现'!$D$7:$D$196,"玉米",'逐条表现'!$N$7:$N$196,"&gt;0",'逐条表现'!$O$7:$O$196,"&lt;0")</x:f>
        <x:v>0</x:v>
      </x:c>
      <x:c r="P38" s="16" t="n">
        <x:f>COUNTIFS('逐条表现'!$F$7:$F$196,"苏冰",'逐条表现'!$G$7:$G$196,"15m",'逐条表现'!$D$7:$D$196,"玉米",'逐条表现'!$N$7:$N$196,"&gt;0",'逐条表现'!$O$7:$O$196,"=0")</x:f>
        <x:v>0</x:v>
      </x:c>
      <x:c r="Q38" s="16" t="n">
        <x:f>COUNTIFS('逐条表现'!$F$7:$F$196,"苏冰",'逐条表现'!$G$7:$G$196,"15m",'逐条表现'!$D$7:$D$196,"玉米",'逐条表现'!$P$7:$P$196,"&gt;0",'逐条表现'!$Q$7:$Q$196,"&lt;0")</x:f>
        <x:v>0</x:v>
      </x:c>
      <x:c r="R38" s="16" t="n">
        <x:f>COUNTIFS('逐条表现'!$F$7:$F$196,"苏冰",'逐条表现'!$G$7:$G$196,"15m",'逐条表现'!$D$7:$D$196,"玉米",'逐条表现'!$P$7:$P$196,"&gt;0",'逐条表现'!$Q$7:$Q$196,"=0")</x:f>
        <x:v>0</x:v>
      </x:c>
      <x:c r="S38" s="16" t="n">
        <x:f>COUNTIFS('逐条表现'!$F$7:$F$196,"苏冰",'逐条表现'!$G$7:$G$196,"15m",'逐条表现'!$D$7:$D$196,"玉米",'逐条表现'!$R$7:$R$196,"&gt;0",'逐条表现'!$S$7:$S$196,"&lt;0")</x:f>
        <x:v>0</x:v>
      </x:c>
      <x:c r="T38" s="16" t="n">
        <x:f>COUNTIFS('逐条表现'!$F$7:$F$196,"苏冰",'逐条表现'!$G$7:$G$196,"15m",'逐条表现'!$D$7:$D$196,"玉米",'逐条表现'!$R$7:$R$196,"&gt;0",'逐条表现'!$S$7:$S$196,"=0")</x:f>
        <x:v>0</x:v>
      </x:c>
      <x:c r="U38" s="5" t="str">
        <x:f>IF(E38=0,"",SUMIFS('逐条表现'!$O$7:$O$196,'逐条表现'!$F$7:$F$196,"苏冰",'逐条表现'!$G$7:$G$196,"15m",'逐条表现'!$D$7:$D$196,"玉米")/E38)</x:f>
      </x:c>
      <x:c r="V38" s="5" t="str">
        <x:f>IF(H38=0,"",SUMIFS('逐条表现'!$Q$7:$Q$196,'逐条表现'!$F$7:$F$196,"苏冰",'逐条表现'!$G$7:$G$196,"15m",'逐条表现'!$D$7:$D$196,"玉米")/H38)</x:f>
      </x:c>
      <x:c r="W38" s="16" t="n">
        <x:f>C38-K38-N38</x:f>
        <x:v>0</x:v>
      </x:c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</x:row>
    <x:row r="39" ht="27" customHeight="1">
      <x:c r="A39" s="2" t="str">
        <x:v>玻璃 FG 苏冰</x:v>
      </x:c>
      <x:c r="B39" s="2" t="str">
        <x:v>15m</x:v>
      </x:c>
      <x:c r="C39" s="16" t="n">
        <x:f>COUNTIFS('逐条表现'!$F$7:$F$196,"苏冰",'逐条表现'!$G$7:$G$196,"15m",'逐条表现'!$D$7:$D$196,"玻璃")</x:f>
        <x:v>4</x:v>
      </x:c>
      <x:c r="D39" s="16" t="n">
        <x:f>COUNTIFS('逐条表现'!$F$7:$F$196,"苏冰",'逐条表现'!$G$7:$G$196,"15m",'逐条表现'!$D$7:$D$196,"玻璃",'逐条表现'!$N$7:$N$196,"&gt;0",'逐条表现'!$O$7:$O$196,"&gt;0")</x:f>
        <x:v>0</x:v>
      </x:c>
      <x:c r="E39" s="16" t="n">
        <x:f>COUNTIFS('逐条表现'!$F$7:$F$196,"苏冰",'逐条表现'!$G$7:$G$196,"15m",'逐条表现'!$D$7:$D$196,"玻璃",'逐条表现'!$N$7:$N$196,"&gt;0")</x:f>
        <x:v>0</x:v>
      </x:c>
      <x:c r="F39" s="17" t="str">
        <x:f>IF(E39=0,"",D39/E39)</x:f>
      </x:c>
      <x:c r="G39" s="16" t="n">
        <x:f>COUNTIFS('逐条表现'!$F$7:$F$196,"苏冰",'逐条表现'!$G$7:$G$196,"15m",'逐条表现'!$D$7:$D$196,"玻璃",'逐条表现'!$P$7:$P$196,"&gt;0",'逐条表现'!$Q$7:$Q$196,"&gt;0")</x:f>
        <x:v>0</x:v>
      </x:c>
      <x:c r="H39" s="16" t="n">
        <x:f>COUNTIFS('逐条表现'!$F$7:$F$196,"苏冰",'逐条表现'!$G$7:$G$196,"15m",'逐条表现'!$D$7:$D$196,"玻璃",'逐条表现'!$P$7:$P$196,"&gt;0")</x:f>
        <x:v>0</x:v>
      </x:c>
      <x:c r="I39" s="17" t="str">
        <x:f>IF(H39=0,"",G39/H39)</x:f>
      </x:c>
      <x:c r="J39" s="16" t="n">
        <x:f>COUNTIFS('逐条表现'!$F$7:$F$196,"苏冰",'逐条表现'!$G$7:$G$196,"15m",'逐条表现'!$D$7:$D$196,"玻璃",'逐条表现'!$R$7:$R$196,"&gt;0",'逐条表现'!$S$7:$S$196,"&gt;0")</x:f>
        <x:v>0</x:v>
      </x:c>
      <x:c r="K39" s="16" t="n">
        <x:f>COUNTIFS('逐条表现'!$F$7:$F$196,"苏冰",'逐条表现'!$G$7:$G$196,"15m",'逐条表现'!$D$7:$D$196,"玻璃",'逐条表现'!$R$7:$R$196,"&gt;0")</x:f>
        <x:v>0</x:v>
      </x:c>
      <x:c r="L39" s="17" t="str">
        <x:f>IF(K39=0,"",J39/K39)</x:f>
      </x:c>
      <x:c r="M39" s="5" t="str">
        <x:f>IF(K39=0,"",SUMIFS('逐条表现'!$S$7:$S$196,'逐条表现'!$F$7:$F$196,"苏冰",'逐条表现'!$G$7:$G$196,"15m",'逐条表现'!$D$7:$D$196,"玻璃")/K39)</x:f>
      </x:c>
      <x:c r="N39" s="16" t="n">
        <x:f>C39-K39-COUNTIFS('逐条表现'!$F$7:$F$196,"苏冰",'逐条表现'!$G$7:$G$196,"15m",'逐条表现'!$D$7:$D$196,"玻璃",'逐条表现'!$AK$7:$AK$196,"待观察")</x:f>
        <x:v>4</x:v>
      </x:c>
      <x:c r="O39" s="16" t="n">
        <x:f>COUNTIFS('逐条表现'!$F$7:$F$196,"苏冰",'逐条表现'!$G$7:$G$196,"15m",'逐条表现'!$D$7:$D$196,"玻璃",'逐条表现'!$N$7:$N$196,"&gt;0",'逐条表现'!$O$7:$O$196,"&lt;0")</x:f>
        <x:v>0</x:v>
      </x:c>
      <x:c r="P39" s="16" t="n">
        <x:f>COUNTIFS('逐条表现'!$F$7:$F$196,"苏冰",'逐条表现'!$G$7:$G$196,"15m",'逐条表现'!$D$7:$D$196,"玻璃",'逐条表现'!$N$7:$N$196,"&gt;0",'逐条表现'!$O$7:$O$196,"=0")</x:f>
        <x:v>0</x:v>
      </x:c>
      <x:c r="Q39" s="16" t="n">
        <x:f>COUNTIFS('逐条表现'!$F$7:$F$196,"苏冰",'逐条表现'!$G$7:$G$196,"15m",'逐条表现'!$D$7:$D$196,"玻璃",'逐条表现'!$P$7:$P$196,"&gt;0",'逐条表现'!$Q$7:$Q$196,"&lt;0")</x:f>
        <x:v>0</x:v>
      </x:c>
      <x:c r="R39" s="16" t="n">
        <x:f>COUNTIFS('逐条表现'!$F$7:$F$196,"苏冰",'逐条表现'!$G$7:$G$196,"15m",'逐条表现'!$D$7:$D$196,"玻璃",'逐条表现'!$P$7:$P$196,"&gt;0",'逐条表现'!$Q$7:$Q$196,"=0")</x:f>
        <x:v>0</x:v>
      </x:c>
      <x:c r="S39" s="16" t="n">
        <x:f>COUNTIFS('逐条表现'!$F$7:$F$196,"苏冰",'逐条表现'!$G$7:$G$196,"15m",'逐条表现'!$D$7:$D$196,"玻璃",'逐条表现'!$R$7:$R$196,"&gt;0",'逐条表现'!$S$7:$S$196,"&lt;0")</x:f>
        <x:v>0</x:v>
      </x:c>
      <x:c r="T39" s="16" t="n">
        <x:f>COUNTIFS('逐条表现'!$F$7:$F$196,"苏冰",'逐条表现'!$G$7:$G$196,"15m",'逐条表现'!$D$7:$D$196,"玻璃",'逐条表现'!$R$7:$R$196,"&gt;0",'逐条表现'!$S$7:$S$196,"=0")</x:f>
        <x:v>0</x:v>
      </x:c>
      <x:c r="U39" s="5" t="str">
        <x:f>IF(E39=0,"",SUMIFS('逐条表现'!$O$7:$O$196,'逐条表现'!$F$7:$F$196,"苏冰",'逐条表现'!$G$7:$G$196,"15m",'逐条表现'!$D$7:$D$196,"玻璃")/E39)</x:f>
      </x:c>
      <x:c r="V39" s="5" t="str">
        <x:f>IF(H39=0,"",SUMIFS('逐条表现'!$Q$7:$Q$196,'逐条表现'!$F$7:$F$196,"苏冰",'逐条表现'!$G$7:$G$196,"15m",'逐条表现'!$D$7:$D$196,"玻璃")/H39)</x:f>
      </x:c>
      <x:c r="W39" s="16" t="n">
        <x:f>C39-K39-N39</x:f>
        <x:v>0</x:v>
      </x:c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</x:row>
    <x:row r="40" ht="27" customHeight="1">
      <x:c r="A40" s="2" t="str">
        <x:v>瓶片 PL 苏冰</x:v>
      </x:c>
      <x:c r="B40" s="2" t="str">
        <x:v>15m</x:v>
      </x:c>
      <x:c r="C40" s="16" t="n">
        <x:f>COUNTIFS('逐条表现'!$F$7:$F$196,"苏冰",'逐条表现'!$G$7:$G$196,"15m",'逐条表现'!$D$7:$D$196,"瓶片")</x:f>
        <x:v>2</x:v>
      </x:c>
      <x:c r="D40" s="16" t="n">
        <x:f>COUNTIFS('逐条表现'!$F$7:$F$196,"苏冰",'逐条表现'!$G$7:$G$196,"15m",'逐条表现'!$D$7:$D$196,"瓶片",'逐条表现'!$N$7:$N$196,"&gt;0",'逐条表现'!$O$7:$O$196,"&gt;0")</x:f>
        <x:v>0</x:v>
      </x:c>
      <x:c r="E40" s="16" t="n">
        <x:f>COUNTIFS('逐条表现'!$F$7:$F$196,"苏冰",'逐条表现'!$G$7:$G$196,"15m",'逐条表现'!$D$7:$D$196,"瓶片",'逐条表现'!$N$7:$N$196,"&gt;0")</x:f>
        <x:v>0</x:v>
      </x:c>
      <x:c r="F40" s="17" t="str">
        <x:f>IF(E40=0,"",D40/E40)</x:f>
      </x:c>
      <x:c r="G40" s="16" t="n">
        <x:f>COUNTIFS('逐条表现'!$F$7:$F$196,"苏冰",'逐条表现'!$G$7:$G$196,"15m",'逐条表现'!$D$7:$D$196,"瓶片",'逐条表现'!$P$7:$P$196,"&gt;0",'逐条表现'!$Q$7:$Q$196,"&gt;0")</x:f>
        <x:v>0</x:v>
      </x:c>
      <x:c r="H40" s="16" t="n">
        <x:f>COUNTIFS('逐条表现'!$F$7:$F$196,"苏冰",'逐条表现'!$G$7:$G$196,"15m",'逐条表现'!$D$7:$D$196,"瓶片",'逐条表现'!$P$7:$P$196,"&gt;0")</x:f>
        <x:v>0</x:v>
      </x:c>
      <x:c r="I40" s="17" t="str">
        <x:f>IF(H40=0,"",G40/H40)</x:f>
      </x:c>
      <x:c r="J40" s="16" t="n">
        <x:f>COUNTIFS('逐条表现'!$F$7:$F$196,"苏冰",'逐条表现'!$G$7:$G$196,"15m",'逐条表现'!$D$7:$D$196,"瓶片",'逐条表现'!$R$7:$R$196,"&gt;0",'逐条表现'!$S$7:$S$196,"&gt;0")</x:f>
        <x:v>0</x:v>
      </x:c>
      <x:c r="K40" s="16" t="n">
        <x:f>COUNTIFS('逐条表现'!$F$7:$F$196,"苏冰",'逐条表现'!$G$7:$G$196,"15m",'逐条表现'!$D$7:$D$196,"瓶片",'逐条表现'!$R$7:$R$196,"&gt;0")</x:f>
        <x:v>0</x:v>
      </x:c>
      <x:c r="L40" s="17" t="str">
        <x:f>IF(K40=0,"",J40/K40)</x:f>
      </x:c>
      <x:c r="M40" s="5" t="str">
        <x:f>IF(K40=0,"",SUMIFS('逐条表现'!$S$7:$S$196,'逐条表现'!$F$7:$F$196,"苏冰",'逐条表现'!$G$7:$G$196,"15m",'逐条表现'!$D$7:$D$196,"瓶片")/K40)</x:f>
      </x:c>
      <x:c r="N40" s="16" t="n">
        <x:f>C40-K40-COUNTIFS('逐条表现'!$F$7:$F$196,"苏冰",'逐条表现'!$G$7:$G$196,"15m",'逐条表现'!$D$7:$D$196,"瓶片",'逐条表现'!$AK$7:$AK$196,"待观察")</x:f>
        <x:v>2</x:v>
      </x:c>
      <x:c r="O40" s="16" t="n">
        <x:f>COUNTIFS('逐条表现'!$F$7:$F$196,"苏冰",'逐条表现'!$G$7:$G$196,"15m",'逐条表现'!$D$7:$D$196,"瓶片",'逐条表现'!$N$7:$N$196,"&gt;0",'逐条表现'!$O$7:$O$196,"&lt;0")</x:f>
        <x:v>0</x:v>
      </x:c>
      <x:c r="P40" s="16" t="n">
        <x:f>COUNTIFS('逐条表现'!$F$7:$F$196,"苏冰",'逐条表现'!$G$7:$G$196,"15m",'逐条表现'!$D$7:$D$196,"瓶片",'逐条表现'!$N$7:$N$196,"&gt;0",'逐条表现'!$O$7:$O$196,"=0")</x:f>
        <x:v>0</x:v>
      </x:c>
      <x:c r="Q40" s="16" t="n">
        <x:f>COUNTIFS('逐条表现'!$F$7:$F$196,"苏冰",'逐条表现'!$G$7:$G$196,"15m",'逐条表现'!$D$7:$D$196,"瓶片",'逐条表现'!$P$7:$P$196,"&gt;0",'逐条表现'!$Q$7:$Q$196,"&lt;0")</x:f>
        <x:v>0</x:v>
      </x:c>
      <x:c r="R40" s="16" t="n">
        <x:f>COUNTIFS('逐条表现'!$F$7:$F$196,"苏冰",'逐条表现'!$G$7:$G$196,"15m",'逐条表现'!$D$7:$D$196,"瓶片",'逐条表现'!$P$7:$P$196,"&gt;0",'逐条表现'!$Q$7:$Q$196,"=0")</x:f>
        <x:v>0</x:v>
      </x:c>
      <x:c r="S40" s="16" t="n">
        <x:f>COUNTIFS('逐条表现'!$F$7:$F$196,"苏冰",'逐条表现'!$G$7:$G$196,"15m",'逐条表现'!$D$7:$D$196,"瓶片",'逐条表现'!$R$7:$R$196,"&gt;0",'逐条表现'!$S$7:$S$196,"&lt;0")</x:f>
        <x:v>0</x:v>
      </x:c>
      <x:c r="T40" s="16" t="n">
        <x:f>COUNTIFS('逐条表现'!$F$7:$F$196,"苏冰",'逐条表现'!$G$7:$G$196,"15m",'逐条表现'!$D$7:$D$196,"瓶片",'逐条表现'!$R$7:$R$196,"&gt;0",'逐条表现'!$S$7:$S$196,"=0")</x:f>
        <x:v>0</x:v>
      </x:c>
      <x:c r="U40" s="5" t="str">
        <x:f>IF(E40=0,"",SUMIFS('逐条表现'!$O$7:$O$196,'逐条表现'!$F$7:$F$196,"苏冰",'逐条表现'!$G$7:$G$196,"15m",'逐条表现'!$D$7:$D$196,"瓶片")/E40)</x:f>
      </x:c>
      <x:c r="V40" s="5" t="str">
        <x:f>IF(H40=0,"",SUMIFS('逐条表现'!$Q$7:$Q$196,'逐条表现'!$F$7:$F$196,"苏冰",'逐条表现'!$G$7:$G$196,"15m",'逐条表现'!$D$7:$D$196,"瓶片")/H40)</x:f>
      </x:c>
      <x:c r="W40" s="16" t="n">
        <x:f>C40-K40-N40</x:f>
        <x:v>0</x:v>
      </x:c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</x:row>
    <x:row r="41" ht="27" customHeight="1">
      <x:c r="A41" s="2" t="str">
        <x:v>生猪 LH 苏冰</x:v>
      </x:c>
      <x:c r="B41" s="2" t="str">
        <x:v>15m</x:v>
      </x:c>
      <x:c r="C41" s="16" t="n">
        <x:f>COUNTIFS('逐条表现'!$F$7:$F$196,"苏冰",'逐条表现'!$G$7:$G$196,"15m",'逐条表现'!$D$7:$D$196,"生猪")</x:f>
        <x:v>3</x:v>
      </x:c>
      <x:c r="D41" s="16" t="n">
        <x:f>COUNTIFS('逐条表现'!$F$7:$F$196,"苏冰",'逐条表现'!$G$7:$G$196,"15m",'逐条表现'!$D$7:$D$196,"生猪",'逐条表现'!$N$7:$N$196,"&gt;0",'逐条表现'!$O$7:$O$196,"&gt;0")</x:f>
        <x:v>1</x:v>
      </x:c>
      <x:c r="E41" s="16" t="n">
        <x:f>COUNTIFS('逐条表现'!$F$7:$F$196,"苏冰",'逐条表现'!$G$7:$G$196,"15m",'逐条表现'!$D$7:$D$196,"生猪",'逐条表现'!$N$7:$N$196,"&gt;0")</x:f>
        <x:v>2</x:v>
      </x:c>
      <x:c r="F41" s="17" t="n">
        <x:f>IF(E41=0,"",D41/E41)</x:f>
        <x:v>0.5</x:v>
      </x:c>
      <x:c r="G41" s="16" t="n">
        <x:f>COUNTIFS('逐条表现'!$F$7:$F$196,"苏冰",'逐条表现'!$G$7:$G$196,"15m",'逐条表现'!$D$7:$D$196,"生猪",'逐条表现'!$P$7:$P$196,"&gt;0",'逐条表现'!$Q$7:$Q$196,"&gt;0")</x:f>
        <x:v>2</x:v>
      </x:c>
      <x:c r="H41" s="16" t="n">
        <x:f>COUNTIFS('逐条表现'!$F$7:$F$196,"苏冰",'逐条表现'!$G$7:$G$196,"15m",'逐条表现'!$D$7:$D$196,"生猪",'逐条表现'!$P$7:$P$196,"&gt;0")</x:f>
        <x:v>2</x:v>
      </x:c>
      <x:c r="I41" s="17" t="n">
        <x:f>IF(H41=0,"",G41/H41)</x:f>
        <x:v>1</x:v>
      </x:c>
      <x:c r="J41" s="16" t="n">
        <x:f>COUNTIFS('逐条表现'!$F$7:$F$196,"苏冰",'逐条表现'!$G$7:$G$196,"15m",'逐条表现'!$D$7:$D$196,"生猪",'逐条表现'!$R$7:$R$196,"&gt;0",'逐条表现'!$S$7:$S$196,"&gt;0")</x:f>
        <x:v>2</x:v>
      </x:c>
      <x:c r="K41" s="16" t="n">
        <x:f>COUNTIFS('逐条表现'!$F$7:$F$196,"苏冰",'逐条表现'!$G$7:$G$196,"15m",'逐条表现'!$D$7:$D$196,"生猪",'逐条表现'!$R$7:$R$196,"&gt;0")</x:f>
        <x:v>2</x:v>
      </x:c>
      <x:c r="L41" s="17" t="n">
        <x:f>IF(K41=0,"",J41/K41)</x:f>
        <x:v>1</x:v>
      </x:c>
      <x:c r="M41" s="5" t="n">
        <x:f>IF(K41=0,"",SUMIFS('逐条表现'!$S$7:$S$196,'逐条表现'!$F$7:$F$196,"苏冰",'逐条表现'!$G$7:$G$196,"15m",'逐条表现'!$D$7:$D$196,"生猪")/K41)</x:f>
        <x:v>0.002754979438274907</x:v>
      </x:c>
      <x:c r="N41" s="16" t="n">
        <x:f>C41-K41-COUNTIFS('逐条表现'!$F$7:$F$196,"苏冰",'逐条表现'!$G$7:$G$196,"15m",'逐条表现'!$D$7:$D$196,"生猪",'逐条表现'!$AK$7:$AK$196,"待观察")</x:f>
        <x:v>1</x:v>
      </x:c>
      <x:c r="O41" s="16" t="n">
        <x:f>COUNTIFS('逐条表现'!$F$7:$F$196,"苏冰",'逐条表现'!$G$7:$G$196,"15m",'逐条表现'!$D$7:$D$196,"生猪",'逐条表现'!$N$7:$N$196,"&gt;0",'逐条表现'!$O$7:$O$196,"&lt;0")</x:f>
        <x:v>1</x:v>
      </x:c>
      <x:c r="P41" s="16" t="n">
        <x:f>COUNTIFS('逐条表现'!$F$7:$F$196,"苏冰",'逐条表现'!$G$7:$G$196,"15m",'逐条表现'!$D$7:$D$196,"生猪",'逐条表现'!$N$7:$N$196,"&gt;0",'逐条表现'!$O$7:$O$196,"=0")</x:f>
        <x:v>0</x:v>
      </x:c>
      <x:c r="Q41" s="16" t="n">
        <x:f>COUNTIFS('逐条表现'!$F$7:$F$196,"苏冰",'逐条表现'!$G$7:$G$196,"15m",'逐条表现'!$D$7:$D$196,"生猪",'逐条表现'!$P$7:$P$196,"&gt;0",'逐条表现'!$Q$7:$Q$196,"&lt;0")</x:f>
        <x:v>0</x:v>
      </x:c>
      <x:c r="R41" s="16" t="n">
        <x:f>COUNTIFS('逐条表现'!$F$7:$F$196,"苏冰",'逐条表现'!$G$7:$G$196,"15m",'逐条表现'!$D$7:$D$196,"生猪",'逐条表现'!$P$7:$P$196,"&gt;0",'逐条表现'!$Q$7:$Q$196,"=0")</x:f>
        <x:v>0</x:v>
      </x:c>
      <x:c r="S41" s="16" t="n">
        <x:f>COUNTIFS('逐条表现'!$F$7:$F$196,"苏冰",'逐条表现'!$G$7:$G$196,"15m",'逐条表现'!$D$7:$D$196,"生猪",'逐条表现'!$R$7:$R$196,"&gt;0",'逐条表现'!$S$7:$S$196,"&lt;0")</x:f>
        <x:v>0</x:v>
      </x:c>
      <x:c r="T41" s="16" t="n">
        <x:f>COUNTIFS('逐条表现'!$F$7:$F$196,"苏冰",'逐条表现'!$G$7:$G$196,"15m",'逐条表现'!$D$7:$D$196,"生猪",'逐条表现'!$R$7:$R$196,"&gt;0",'逐条表现'!$S$7:$S$196,"=0")</x:f>
        <x:v>0</x:v>
      </x:c>
      <x:c r="U41" s="5" t="n">
        <x:f>IF(E41=0,"",SUMIFS('逐条表现'!$O$7:$O$196,'逐条表现'!$F$7:$F$196,"苏冰",'逐条表现'!$G$7:$G$196,"15m",'逐条表现'!$D$7:$D$196,"生猪")/E41)</x:f>
        <x:v>0.00021690837228499626</x:v>
      </x:c>
      <x:c r="V41" s="5" t="n">
        <x:f>IF(H41=0,"",SUMIFS('逐条表现'!$Q$7:$Q$196,'逐条表现'!$F$7:$F$196,"苏冰",'逐条表现'!$G$7:$G$196,"15m",'逐条表现'!$D$7:$D$196,"生猪")/H41)</x:f>
        <x:v>0.0025488759662282146</x:v>
      </x:c>
      <x:c r="W41" s="16" t="n">
        <x:f>C41-K41-N41</x:f>
        <x:v>0</x:v>
      </x:c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</x:row>
    <x:row r="42" ht="27" customHeight="1">
      <x:c r="A42" s="2" t="str">
        <x:v>甲醇 MA 苏冰</x:v>
      </x:c>
      <x:c r="B42" s="2" t="str">
        <x:v>15m</x:v>
      </x:c>
      <x:c r="C42" s="16" t="n">
        <x:f>COUNTIFS('逐条表现'!$F$7:$F$196,"苏冰",'逐条表现'!$G$7:$G$196,"15m",'逐条表现'!$D$7:$D$196,"甲醇")</x:f>
        <x:v>1</x:v>
      </x:c>
      <x:c r="D42" s="16" t="n">
        <x:f>COUNTIFS('逐条表现'!$F$7:$F$196,"苏冰",'逐条表现'!$G$7:$G$196,"15m",'逐条表现'!$D$7:$D$196,"甲醇",'逐条表现'!$N$7:$N$196,"&gt;0",'逐条表现'!$O$7:$O$196,"&gt;0")</x:f>
        <x:v>0</x:v>
      </x:c>
      <x:c r="E42" s="16" t="n">
        <x:f>COUNTIFS('逐条表现'!$F$7:$F$196,"苏冰",'逐条表现'!$G$7:$G$196,"15m",'逐条表现'!$D$7:$D$196,"甲醇",'逐条表现'!$N$7:$N$196,"&gt;0")</x:f>
        <x:v>0</x:v>
      </x:c>
      <x:c r="F42" s="17" t="str">
        <x:f>IF(E42=0,"",D42/E42)</x:f>
      </x:c>
      <x:c r="G42" s="16" t="n">
        <x:f>COUNTIFS('逐条表现'!$F$7:$F$196,"苏冰",'逐条表现'!$G$7:$G$196,"15m",'逐条表现'!$D$7:$D$196,"甲醇",'逐条表现'!$P$7:$P$196,"&gt;0",'逐条表现'!$Q$7:$Q$196,"&gt;0")</x:f>
        <x:v>0</x:v>
      </x:c>
      <x:c r="H42" s="16" t="n">
        <x:f>COUNTIFS('逐条表现'!$F$7:$F$196,"苏冰",'逐条表现'!$G$7:$G$196,"15m",'逐条表现'!$D$7:$D$196,"甲醇",'逐条表现'!$P$7:$P$196,"&gt;0")</x:f>
        <x:v>0</x:v>
      </x:c>
      <x:c r="I42" s="17" t="str">
        <x:f>IF(H42=0,"",G42/H42)</x:f>
      </x:c>
      <x:c r="J42" s="16" t="n">
        <x:f>COUNTIFS('逐条表现'!$F$7:$F$196,"苏冰",'逐条表现'!$G$7:$G$196,"15m",'逐条表现'!$D$7:$D$196,"甲醇",'逐条表现'!$R$7:$R$196,"&gt;0",'逐条表现'!$S$7:$S$196,"&gt;0")</x:f>
        <x:v>0</x:v>
      </x:c>
      <x:c r="K42" s="16" t="n">
        <x:f>COUNTIFS('逐条表现'!$F$7:$F$196,"苏冰",'逐条表现'!$G$7:$G$196,"15m",'逐条表现'!$D$7:$D$196,"甲醇",'逐条表现'!$R$7:$R$196,"&gt;0")</x:f>
        <x:v>0</x:v>
      </x:c>
      <x:c r="L42" s="17" t="str">
        <x:f>IF(K42=0,"",J42/K42)</x:f>
      </x:c>
      <x:c r="M42" s="5" t="str">
        <x:f>IF(K42=0,"",SUMIFS('逐条表现'!$S$7:$S$196,'逐条表现'!$F$7:$F$196,"苏冰",'逐条表现'!$G$7:$G$196,"15m",'逐条表现'!$D$7:$D$196,"甲醇")/K42)</x:f>
      </x:c>
      <x:c r="N42" s="16" t="n">
        <x:f>C42-K42-COUNTIFS('逐条表现'!$F$7:$F$196,"苏冰",'逐条表现'!$G$7:$G$196,"15m",'逐条表现'!$D$7:$D$196,"甲醇",'逐条表现'!$AK$7:$AK$196,"待观察")</x:f>
        <x:v>1</x:v>
      </x:c>
      <x:c r="O42" s="16" t="n">
        <x:f>COUNTIFS('逐条表现'!$F$7:$F$196,"苏冰",'逐条表现'!$G$7:$G$196,"15m",'逐条表现'!$D$7:$D$196,"甲醇",'逐条表现'!$N$7:$N$196,"&gt;0",'逐条表现'!$O$7:$O$196,"&lt;0")</x:f>
        <x:v>0</x:v>
      </x:c>
      <x:c r="P42" s="16" t="n">
        <x:f>COUNTIFS('逐条表现'!$F$7:$F$196,"苏冰",'逐条表现'!$G$7:$G$196,"15m",'逐条表现'!$D$7:$D$196,"甲醇",'逐条表现'!$N$7:$N$196,"&gt;0",'逐条表现'!$O$7:$O$196,"=0")</x:f>
        <x:v>0</x:v>
      </x:c>
      <x:c r="Q42" s="16" t="n">
        <x:f>COUNTIFS('逐条表现'!$F$7:$F$196,"苏冰",'逐条表现'!$G$7:$G$196,"15m",'逐条表现'!$D$7:$D$196,"甲醇",'逐条表现'!$P$7:$P$196,"&gt;0",'逐条表现'!$Q$7:$Q$196,"&lt;0")</x:f>
        <x:v>0</x:v>
      </x:c>
      <x:c r="R42" s="16" t="n">
        <x:f>COUNTIFS('逐条表现'!$F$7:$F$196,"苏冰",'逐条表现'!$G$7:$G$196,"15m",'逐条表现'!$D$7:$D$196,"甲醇",'逐条表现'!$P$7:$P$196,"&gt;0",'逐条表现'!$Q$7:$Q$196,"=0")</x:f>
        <x:v>0</x:v>
      </x:c>
      <x:c r="S42" s="16" t="n">
        <x:f>COUNTIFS('逐条表现'!$F$7:$F$196,"苏冰",'逐条表现'!$G$7:$G$196,"15m",'逐条表现'!$D$7:$D$196,"甲醇",'逐条表现'!$R$7:$R$196,"&gt;0",'逐条表现'!$S$7:$S$196,"&lt;0")</x:f>
        <x:v>0</x:v>
      </x:c>
      <x:c r="T42" s="16" t="n">
        <x:f>COUNTIFS('逐条表现'!$F$7:$F$196,"苏冰",'逐条表现'!$G$7:$G$196,"15m",'逐条表现'!$D$7:$D$196,"甲醇",'逐条表现'!$R$7:$R$196,"&gt;0",'逐条表现'!$S$7:$S$196,"=0")</x:f>
        <x:v>0</x:v>
      </x:c>
      <x:c r="U42" s="5" t="str">
        <x:f>IF(E42=0,"",SUMIFS('逐条表现'!$O$7:$O$196,'逐条表现'!$F$7:$F$196,"苏冰",'逐条表现'!$G$7:$G$196,"15m",'逐条表现'!$D$7:$D$196,"甲醇")/E42)</x:f>
      </x:c>
      <x:c r="V42" s="5" t="str">
        <x:f>IF(H42=0,"",SUMIFS('逐条表现'!$Q$7:$Q$196,'逐条表现'!$F$7:$F$196,"苏冰",'逐条表现'!$G$7:$G$196,"15m",'逐条表现'!$D$7:$D$196,"甲醇")/H42)</x:f>
      </x:c>
      <x:c r="W42" s="16" t="n">
        <x:f>C42-K42-N42</x:f>
        <x:v>0</x:v>
      </x:c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</x:row>
    <x:row r="43" ht="27" customHeight="1">
      <x:c r="A43" s="2" t="str">
        <x:v>白糖 SR 苏冰</x:v>
      </x:c>
      <x:c r="B43" s="2" t="str">
        <x:v>15m</x:v>
      </x:c>
      <x:c r="C43" s="16" t="n">
        <x:f>COUNTIFS('逐条表现'!$F$7:$F$196,"苏冰",'逐条表现'!$G$7:$G$196,"15m",'逐条表现'!$D$7:$D$196,"白糖")</x:f>
        <x:v>2</x:v>
      </x:c>
      <x:c r="D43" s="16" t="n">
        <x:f>COUNTIFS('逐条表现'!$F$7:$F$196,"苏冰",'逐条表现'!$G$7:$G$196,"15m",'逐条表现'!$D$7:$D$196,"白糖",'逐条表现'!$N$7:$N$196,"&gt;0",'逐条表现'!$O$7:$O$196,"&gt;0")</x:f>
        <x:v>0</x:v>
      </x:c>
      <x:c r="E43" s="16" t="n">
        <x:f>COUNTIFS('逐条表现'!$F$7:$F$196,"苏冰",'逐条表现'!$G$7:$G$196,"15m",'逐条表现'!$D$7:$D$196,"白糖",'逐条表现'!$N$7:$N$196,"&gt;0")</x:f>
        <x:v>1</x:v>
      </x:c>
      <x:c r="F43" s="17" t="n">
        <x:f>IF(E43=0,"",D43/E43)</x:f>
        <x:v>0</x:v>
      </x:c>
      <x:c r="G43" s="16" t="n">
        <x:f>COUNTIFS('逐条表现'!$F$7:$F$196,"苏冰",'逐条表现'!$G$7:$G$196,"15m",'逐条表现'!$D$7:$D$196,"白糖",'逐条表现'!$P$7:$P$196,"&gt;0",'逐条表现'!$Q$7:$Q$196,"&gt;0")</x:f>
        <x:v>1</x:v>
      </x:c>
      <x:c r="H43" s="16" t="n">
        <x:f>COUNTIFS('逐条表现'!$F$7:$F$196,"苏冰",'逐条表现'!$G$7:$G$196,"15m",'逐条表现'!$D$7:$D$196,"白糖",'逐条表现'!$P$7:$P$196,"&gt;0")</x:f>
        <x:v>1</x:v>
      </x:c>
      <x:c r="I43" s="17" t="n">
        <x:f>IF(H43=0,"",G43/H43)</x:f>
        <x:v>1</x:v>
      </x:c>
      <x:c r="J43" s="16" t="n">
        <x:f>COUNTIFS('逐条表现'!$F$7:$F$196,"苏冰",'逐条表现'!$G$7:$G$196,"15m",'逐条表现'!$D$7:$D$196,"白糖",'逐条表现'!$R$7:$R$196,"&gt;0",'逐条表现'!$S$7:$S$196,"&gt;0")</x:f>
        <x:v>1</x:v>
      </x:c>
      <x:c r="K43" s="16" t="n">
        <x:f>COUNTIFS('逐条表现'!$F$7:$F$196,"苏冰",'逐条表现'!$G$7:$G$196,"15m",'逐条表现'!$D$7:$D$196,"白糖",'逐条表现'!$R$7:$R$196,"&gt;0")</x:f>
        <x:v>1</x:v>
      </x:c>
      <x:c r="L43" s="17" t="n">
        <x:f>IF(K43=0,"",J43/K43)</x:f>
        <x:v>1</x:v>
      </x:c>
      <x:c r="M43" s="5" t="n">
        <x:f>IF(K43=0,"",SUMIFS('逐条表现'!$S$7:$S$196,'逐条表现'!$F$7:$F$196,"苏冰",'逐条表现'!$G$7:$G$196,"15m",'逐条表现'!$D$7:$D$196,"白糖")/K43)</x:f>
        <x:v>0.0029223744292237175</x:v>
      </x:c>
      <x:c r="N43" s="16" t="n">
        <x:f>C43-K43-COUNTIFS('逐条表现'!$F$7:$F$196,"苏冰",'逐条表现'!$G$7:$G$196,"15m",'逐条表现'!$D$7:$D$196,"白糖",'逐条表现'!$AK$7:$AK$196,"待观察")</x:f>
        <x:v>1</x:v>
      </x:c>
      <x:c r="O43" s="16" t="n">
        <x:f>COUNTIFS('逐条表现'!$F$7:$F$196,"苏冰",'逐条表现'!$G$7:$G$196,"15m",'逐条表现'!$D$7:$D$196,"白糖",'逐条表现'!$N$7:$N$196,"&gt;0",'逐条表现'!$O$7:$O$196,"&lt;0")</x:f>
        <x:v>1</x:v>
      </x:c>
      <x:c r="P43" s="16" t="n">
        <x:f>COUNTIFS('逐条表现'!$F$7:$F$196,"苏冰",'逐条表现'!$G$7:$G$196,"15m",'逐条表现'!$D$7:$D$196,"白糖",'逐条表现'!$N$7:$N$196,"&gt;0",'逐条表现'!$O$7:$O$196,"=0")</x:f>
        <x:v>0</x:v>
      </x:c>
      <x:c r="Q43" s="16" t="n">
        <x:f>COUNTIFS('逐条表现'!$F$7:$F$196,"苏冰",'逐条表现'!$G$7:$G$196,"15m",'逐条表现'!$D$7:$D$196,"白糖",'逐条表现'!$P$7:$P$196,"&gt;0",'逐条表现'!$Q$7:$Q$196,"&lt;0")</x:f>
        <x:v>0</x:v>
      </x:c>
      <x:c r="R43" s="16" t="n">
        <x:f>COUNTIFS('逐条表现'!$F$7:$F$196,"苏冰",'逐条表现'!$G$7:$G$196,"15m",'逐条表现'!$D$7:$D$196,"白糖",'逐条表现'!$P$7:$P$196,"&gt;0",'逐条表现'!$Q$7:$Q$196,"=0")</x:f>
        <x:v>0</x:v>
      </x:c>
      <x:c r="S43" s="16" t="n">
        <x:f>COUNTIFS('逐条表现'!$F$7:$F$196,"苏冰",'逐条表现'!$G$7:$G$196,"15m",'逐条表现'!$D$7:$D$196,"白糖",'逐条表现'!$R$7:$R$196,"&gt;0",'逐条表现'!$S$7:$S$196,"&lt;0")</x:f>
        <x:v>0</x:v>
      </x:c>
      <x:c r="T43" s="16" t="n">
        <x:f>COUNTIFS('逐条表现'!$F$7:$F$196,"苏冰",'逐条表现'!$G$7:$G$196,"15m",'逐条表现'!$D$7:$D$196,"白糖",'逐条表现'!$R$7:$R$196,"&gt;0",'逐条表现'!$S$7:$S$196,"=0")</x:f>
        <x:v>0</x:v>
      </x:c>
      <x:c r="U43" s="5" t="n">
        <x:f>IF(E43=0,"",SUMIFS('逐条表现'!$O$7:$O$196,'逐条表现'!$F$7:$F$196,"苏冰",'逐条表现'!$G$7:$G$196,"15m",'逐条表现'!$D$7:$D$196,"白糖")/E43)</x:f>
        <x:v>-0.00018264840182646847</x:v>
      </x:c>
      <x:c r="V43" s="5" t="n">
        <x:f>IF(H43=0,"",SUMIFS('逐条表现'!$Q$7:$Q$196,'逐条表现'!$F$7:$F$196,"苏冰",'逐条表现'!$G$7:$G$196,"15m",'逐条表现'!$D$7:$D$196,"白糖")/H43)</x:f>
        <x:v>0.0007305936073058739</x:v>
      </x:c>
      <x:c r="W43" s="16" t="n">
        <x:f>C43-K43-N43</x:f>
        <x:v>0</x:v>
      </x:c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</x:row>
    <x:row r="44" ht="27" customHeight="1">
      <x:c r="A44" s="2" t="str">
        <x:v>白银 AG 苏冰</x:v>
      </x:c>
      <x:c r="B44" s="2" t="str">
        <x:v>15m</x:v>
      </x:c>
      <x:c r="C44" s="16" t="n">
        <x:f>COUNTIFS('逐条表现'!$F$7:$F$196,"苏冰",'逐条表现'!$G$7:$G$196,"15m",'逐条表现'!$D$7:$D$196,"白银")</x:f>
        <x:v>7</x:v>
      </x:c>
      <x:c r="D44" s="16" t="n">
        <x:f>COUNTIFS('逐条表现'!$F$7:$F$196,"苏冰",'逐条表现'!$G$7:$G$196,"15m",'逐条表现'!$D$7:$D$196,"白银",'逐条表现'!$N$7:$N$196,"&gt;0",'逐条表现'!$O$7:$O$196,"&gt;0")</x:f>
        <x:v>3</x:v>
      </x:c>
      <x:c r="E44" s="16" t="n">
        <x:f>COUNTIFS('逐条表现'!$F$7:$F$196,"苏冰",'逐条表现'!$G$7:$G$196,"15m",'逐条表现'!$D$7:$D$196,"白银",'逐条表现'!$N$7:$N$196,"&gt;0")</x:f>
        <x:v>3</x:v>
      </x:c>
      <x:c r="F44" s="17" t="n">
        <x:f>IF(E44=0,"",D44/E44)</x:f>
        <x:v>1</x:v>
      </x:c>
      <x:c r="G44" s="16" t="n">
        <x:f>COUNTIFS('逐条表现'!$F$7:$F$196,"苏冰",'逐条表现'!$G$7:$G$196,"15m",'逐条表现'!$D$7:$D$196,"白银",'逐条表现'!$P$7:$P$196,"&gt;0",'逐条表现'!$Q$7:$Q$196,"&gt;0")</x:f>
        <x:v>2</x:v>
      </x:c>
      <x:c r="H44" s="16" t="n">
        <x:f>COUNTIFS('逐条表现'!$F$7:$F$196,"苏冰",'逐条表现'!$G$7:$G$196,"15m",'逐条表现'!$D$7:$D$196,"白银",'逐条表现'!$P$7:$P$196,"&gt;0")</x:f>
        <x:v>3</x:v>
      </x:c>
      <x:c r="I44" s="17" t="n">
        <x:f>IF(H44=0,"",G44/H44)</x:f>
        <x:v>0.6666666666666666</x:v>
      </x:c>
      <x:c r="J44" s="16" t="n">
        <x:f>COUNTIFS('逐条表现'!$F$7:$F$196,"苏冰",'逐条表现'!$G$7:$G$196,"15m",'逐条表现'!$D$7:$D$196,"白银",'逐条表现'!$R$7:$R$196,"&gt;0",'逐条表现'!$S$7:$S$196,"&gt;0")</x:f>
        <x:v>1</x:v>
      </x:c>
      <x:c r="K44" s="16" t="n">
        <x:f>COUNTIFS('逐条表现'!$F$7:$F$196,"苏冰",'逐条表现'!$G$7:$G$196,"15m",'逐条表现'!$D$7:$D$196,"白银",'逐条表现'!$R$7:$R$196,"&gt;0")</x:f>
        <x:v>3</x:v>
      </x:c>
      <x:c r="L44" s="17" t="n">
        <x:f>IF(K44=0,"",J44/K44)</x:f>
        <x:v>0.3333333333333333</x:v>
      </x:c>
      <x:c r="M44" s="5" t="n">
        <x:f>IF(K44=0,"",SUMIFS('逐条表现'!$S$7:$S$196,'逐条表现'!$F$7:$F$196,"苏冰",'逐条表现'!$G$7:$G$196,"15m",'逐条表现'!$D$7:$D$196,"白银")/K44)</x:f>
        <x:v>-0.00352173221754426</x:v>
      </x:c>
      <x:c r="N44" s="16" t="n">
        <x:f>C44-K44-COUNTIFS('逐条表现'!$F$7:$F$196,"苏冰",'逐条表现'!$G$7:$G$196,"15m",'逐条表现'!$D$7:$D$196,"白银",'逐条表现'!$AK$7:$AK$196,"待观察")</x:f>
        <x:v>4</x:v>
      </x:c>
      <x:c r="O44" s="16" t="n">
        <x:f>COUNTIFS('逐条表现'!$F$7:$F$196,"苏冰",'逐条表现'!$G$7:$G$196,"15m",'逐条表现'!$D$7:$D$196,"白银",'逐条表现'!$N$7:$N$196,"&gt;0",'逐条表现'!$O$7:$O$196,"&lt;0")</x:f>
        <x:v>0</x:v>
      </x:c>
      <x:c r="P44" s="16" t="n">
        <x:f>COUNTIFS('逐条表现'!$F$7:$F$196,"苏冰",'逐条表现'!$G$7:$G$196,"15m",'逐条表现'!$D$7:$D$196,"白银",'逐条表现'!$N$7:$N$196,"&gt;0",'逐条表现'!$O$7:$O$196,"=0")</x:f>
        <x:v>0</x:v>
      </x:c>
      <x:c r="Q44" s="16" t="n">
        <x:f>COUNTIFS('逐条表现'!$F$7:$F$196,"苏冰",'逐条表现'!$G$7:$G$196,"15m",'逐条表现'!$D$7:$D$196,"白银",'逐条表现'!$P$7:$P$196,"&gt;0",'逐条表现'!$Q$7:$Q$196,"&lt;0")</x:f>
        <x:v>1</x:v>
      </x:c>
      <x:c r="R44" s="16" t="n">
        <x:f>COUNTIFS('逐条表现'!$F$7:$F$196,"苏冰",'逐条表现'!$G$7:$G$196,"15m",'逐条表现'!$D$7:$D$196,"白银",'逐条表现'!$P$7:$P$196,"&gt;0",'逐条表现'!$Q$7:$Q$196,"=0")</x:f>
        <x:v>0</x:v>
      </x:c>
      <x:c r="S44" s="16" t="n">
        <x:f>COUNTIFS('逐条表现'!$F$7:$F$196,"苏冰",'逐条表现'!$G$7:$G$196,"15m",'逐条表现'!$D$7:$D$196,"白银",'逐条表现'!$R$7:$R$196,"&gt;0",'逐条表现'!$S$7:$S$196,"&lt;0")</x:f>
        <x:v>2</x:v>
      </x:c>
      <x:c r="T44" s="16" t="n">
        <x:f>COUNTIFS('逐条表现'!$F$7:$F$196,"苏冰",'逐条表现'!$G$7:$G$196,"15m",'逐条表现'!$D$7:$D$196,"白银",'逐条表现'!$R$7:$R$196,"&gt;0",'逐条表现'!$S$7:$S$196,"=0")</x:f>
        <x:v>0</x:v>
      </x:c>
      <x:c r="U44" s="5" t="n">
        <x:f>IF(E44=0,"",SUMIFS('逐条表现'!$O$7:$O$196,'逐条表现'!$F$7:$F$196,"苏冰",'逐条表现'!$G$7:$G$196,"15m",'逐条表现'!$D$7:$D$196,"白银")/E44)</x:f>
        <x:v>0.0012574601452889727</x:v>
      </x:c>
      <x:c r="V44" s="5" t="n">
        <x:f>IF(H44=0,"",SUMIFS('逐条表现'!$Q$7:$Q$196,'逐条表现'!$F$7:$F$196,"苏冰",'逐条表现'!$G$7:$G$196,"15m",'逐条表现'!$D$7:$D$196,"白银")/H44)</x:f>
        <x:v>-0.0023968792846516727</x:v>
      </x:c>
      <x:c r="W44" s="16" t="n">
        <x:f>C44-K44-N44</x:f>
        <x:v>0</x:v>
      </x:c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</x:row>
    <x:row r="45" ht="27" customHeight="1">
      <x:c r="A45" s="2" t="str">
        <x:v>短纤 PF 苏冰</x:v>
      </x:c>
      <x:c r="B45" s="2" t="str">
        <x:v>15m</x:v>
      </x:c>
      <x:c r="C45" s="16" t="n">
        <x:f>COUNTIFS('逐条表现'!$F$7:$F$196,"苏冰",'逐条表现'!$G$7:$G$196,"15m",'逐条表现'!$D$7:$D$196,"短纤")</x:f>
        <x:v>3</x:v>
      </x:c>
      <x:c r="D45" s="16" t="n">
        <x:f>COUNTIFS('逐条表现'!$F$7:$F$196,"苏冰",'逐条表现'!$G$7:$G$196,"15m",'逐条表现'!$D$7:$D$196,"短纤",'逐条表现'!$N$7:$N$196,"&gt;0",'逐条表现'!$O$7:$O$196,"&gt;0")</x:f>
        <x:v>0</x:v>
      </x:c>
      <x:c r="E45" s="16" t="n">
        <x:f>COUNTIFS('逐条表现'!$F$7:$F$196,"苏冰",'逐条表现'!$G$7:$G$196,"15m",'逐条表现'!$D$7:$D$196,"短纤",'逐条表现'!$N$7:$N$196,"&gt;0")</x:f>
        <x:v>2</x:v>
      </x:c>
      <x:c r="F45" s="17" t="n">
        <x:f>IF(E45=0,"",D45/E45)</x:f>
        <x:v>0</x:v>
      </x:c>
      <x:c r="G45" s="16" t="n">
        <x:f>COUNTIFS('逐条表现'!$F$7:$F$196,"苏冰",'逐条表现'!$G$7:$G$196,"15m",'逐条表现'!$D$7:$D$196,"短纤",'逐条表现'!$P$7:$P$196,"&gt;0",'逐条表现'!$Q$7:$Q$196,"&gt;0")</x:f>
        <x:v>1</x:v>
      </x:c>
      <x:c r="H45" s="16" t="n">
        <x:f>COUNTIFS('逐条表现'!$F$7:$F$196,"苏冰",'逐条表现'!$G$7:$G$196,"15m",'逐条表现'!$D$7:$D$196,"短纤",'逐条表现'!$P$7:$P$196,"&gt;0")</x:f>
        <x:v>2</x:v>
      </x:c>
      <x:c r="I45" s="17" t="n">
        <x:f>IF(H45=0,"",G45/H45)</x:f>
        <x:v>0.5</x:v>
      </x:c>
      <x:c r="J45" s="16" t="n">
        <x:f>COUNTIFS('逐条表现'!$F$7:$F$196,"苏冰",'逐条表现'!$G$7:$G$196,"15m",'逐条表现'!$D$7:$D$196,"短纤",'逐条表现'!$R$7:$R$196,"&gt;0",'逐条表现'!$S$7:$S$196,"&gt;0")</x:f>
        <x:v>1</x:v>
      </x:c>
      <x:c r="K45" s="16" t="n">
        <x:f>COUNTIFS('逐条表现'!$F$7:$F$196,"苏冰",'逐条表现'!$G$7:$G$196,"15m",'逐条表现'!$D$7:$D$196,"短纤",'逐条表现'!$R$7:$R$196,"&gt;0")</x:f>
        <x:v>2</x:v>
      </x:c>
      <x:c r="L45" s="17" t="n">
        <x:f>IF(K45=0,"",J45/K45)</x:f>
        <x:v>0.5</x:v>
      </x:c>
      <x:c r="M45" s="5" t="n">
        <x:f>IF(K45=0,"",SUMIFS('逐条表现'!$S$7:$S$196,'逐条表现'!$F$7:$F$196,"苏冰",'逐条表现'!$G$7:$G$196,"15m",'逐条表现'!$D$7:$D$196,"短纤")/K45)</x:f>
        <x:v>0.002771994756727514</x:v>
      </x:c>
      <x:c r="N45" s="16" t="n">
        <x:f>C45-K45-COUNTIFS('逐条表现'!$F$7:$F$196,"苏冰",'逐条表现'!$G$7:$G$196,"15m",'逐条表现'!$D$7:$D$196,"短纤",'逐条表现'!$AK$7:$AK$196,"待观察")</x:f>
        <x:v>1</x:v>
      </x:c>
      <x:c r="O45" s="16" t="n">
        <x:f>COUNTIFS('逐条表现'!$F$7:$F$196,"苏冰",'逐条表现'!$G$7:$G$196,"15m",'逐条表现'!$D$7:$D$196,"短纤",'逐条表现'!$N$7:$N$196,"&gt;0",'逐条表现'!$O$7:$O$196,"&lt;0")</x:f>
        <x:v>2</x:v>
      </x:c>
      <x:c r="P45" s="16" t="n">
        <x:f>COUNTIFS('逐条表现'!$F$7:$F$196,"苏冰",'逐条表现'!$G$7:$G$196,"15m",'逐条表现'!$D$7:$D$196,"短纤",'逐条表现'!$N$7:$N$196,"&gt;0",'逐条表现'!$O$7:$O$196,"=0")</x:f>
        <x:v>0</x:v>
      </x:c>
      <x:c r="Q45" s="16" t="n">
        <x:f>COUNTIFS('逐条表现'!$F$7:$F$196,"苏冰",'逐条表现'!$G$7:$G$196,"15m",'逐条表现'!$D$7:$D$196,"短纤",'逐条表现'!$P$7:$P$196,"&gt;0",'逐条表现'!$Q$7:$Q$196,"&lt;0")</x:f>
        <x:v>1</x:v>
      </x:c>
      <x:c r="R45" s="16" t="n">
        <x:f>COUNTIFS('逐条表现'!$F$7:$F$196,"苏冰",'逐条表现'!$G$7:$G$196,"15m",'逐条表现'!$D$7:$D$196,"短纤",'逐条表现'!$P$7:$P$196,"&gt;0",'逐条表现'!$Q$7:$Q$196,"=0")</x:f>
        <x:v>0</x:v>
      </x:c>
      <x:c r="S45" s="16" t="n">
        <x:f>COUNTIFS('逐条表现'!$F$7:$F$196,"苏冰",'逐条表现'!$G$7:$G$196,"15m",'逐条表现'!$D$7:$D$196,"短纤",'逐条表现'!$R$7:$R$196,"&gt;0",'逐条表现'!$S$7:$S$196,"&lt;0")</x:f>
        <x:v>1</x:v>
      </x:c>
      <x:c r="T45" s="16" t="n">
        <x:f>COUNTIFS('逐条表现'!$F$7:$F$196,"苏冰",'逐条表现'!$G$7:$G$196,"15m",'逐条表现'!$D$7:$D$196,"短纤",'逐条表现'!$R$7:$R$196,"&gt;0",'逐条表现'!$S$7:$S$196,"=0")</x:f>
        <x:v>0</x:v>
      </x:c>
      <x:c r="U45" s="5" t="n">
        <x:f>IF(E45=0,"",SUMIFS('逐条表现'!$O$7:$O$196,'逐条表现'!$F$7:$F$196,"苏冰",'逐条表现'!$G$7:$G$196,"15m",'逐条表现'!$D$7:$D$196,"短纤")/E45)</x:f>
        <x:v>-0.00037975171562959487</x:v>
      </x:c>
      <x:c r="V45" s="5" t="n">
        <x:f>IF(H45=0,"",SUMIFS('逐条表现'!$Q$7:$Q$196,'逐条表现'!$F$7:$F$196,"苏冰",'逐条表现'!$G$7:$G$196,"15m",'逐条表现'!$D$7:$D$196,"短纤")/H45)</x:f>
        <x:v>0.0010081733364176726</x:v>
      </x:c>
      <x:c r="W45" s="16" t="n">
        <x:f>C45-K45-N45</x:f>
        <x:v>0</x:v>
      </x:c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</x:row>
    <x:row r="46" ht="27" customHeight="1">
      <x:c r="A46" s="2" t="str">
        <x:v>硅铁 SF 苏冰</x:v>
      </x:c>
      <x:c r="B46" s="2" t="str">
        <x:v>15m</x:v>
      </x:c>
      <x:c r="C46" s="16" t="n">
        <x:f>COUNTIFS('逐条表现'!$F$7:$F$196,"苏冰",'逐条表现'!$G$7:$G$196,"15m",'逐条表现'!$D$7:$D$196,"硅铁")</x:f>
        <x:v>2</x:v>
      </x:c>
      <x:c r="D46" s="16" t="n">
        <x:f>COUNTIFS('逐条表现'!$F$7:$F$196,"苏冰",'逐条表现'!$G$7:$G$196,"15m",'逐条表现'!$D$7:$D$196,"硅铁",'逐条表现'!$N$7:$N$196,"&gt;0",'逐条表现'!$O$7:$O$196,"&gt;0")</x:f>
        <x:v>0</x:v>
      </x:c>
      <x:c r="E46" s="16" t="n">
        <x:f>COUNTIFS('逐条表现'!$F$7:$F$196,"苏冰",'逐条表现'!$G$7:$G$196,"15m",'逐条表现'!$D$7:$D$196,"硅铁",'逐条表现'!$N$7:$N$196,"&gt;0")</x:f>
        <x:v>0</x:v>
      </x:c>
      <x:c r="F46" s="17" t="str">
        <x:f>IF(E46=0,"",D46/E46)</x:f>
      </x:c>
      <x:c r="G46" s="16" t="n">
        <x:f>COUNTIFS('逐条表现'!$F$7:$F$196,"苏冰",'逐条表现'!$G$7:$G$196,"15m",'逐条表现'!$D$7:$D$196,"硅铁",'逐条表现'!$P$7:$P$196,"&gt;0",'逐条表现'!$Q$7:$Q$196,"&gt;0")</x:f>
        <x:v>0</x:v>
      </x:c>
      <x:c r="H46" s="16" t="n">
        <x:f>COUNTIFS('逐条表现'!$F$7:$F$196,"苏冰",'逐条表现'!$G$7:$G$196,"15m",'逐条表现'!$D$7:$D$196,"硅铁",'逐条表现'!$P$7:$P$196,"&gt;0")</x:f>
        <x:v>0</x:v>
      </x:c>
      <x:c r="I46" s="17" t="str">
        <x:f>IF(H46=0,"",G46/H46)</x:f>
      </x:c>
      <x:c r="J46" s="16" t="n">
        <x:f>COUNTIFS('逐条表现'!$F$7:$F$196,"苏冰",'逐条表现'!$G$7:$G$196,"15m",'逐条表现'!$D$7:$D$196,"硅铁",'逐条表现'!$R$7:$R$196,"&gt;0",'逐条表现'!$S$7:$S$196,"&gt;0")</x:f>
        <x:v>0</x:v>
      </x:c>
      <x:c r="K46" s="16" t="n">
        <x:f>COUNTIFS('逐条表现'!$F$7:$F$196,"苏冰",'逐条表现'!$G$7:$G$196,"15m",'逐条表现'!$D$7:$D$196,"硅铁",'逐条表现'!$R$7:$R$196,"&gt;0")</x:f>
        <x:v>0</x:v>
      </x:c>
      <x:c r="L46" s="17" t="str">
        <x:f>IF(K46=0,"",J46/K46)</x:f>
      </x:c>
      <x:c r="M46" s="5" t="str">
        <x:f>IF(K46=0,"",SUMIFS('逐条表现'!$S$7:$S$196,'逐条表现'!$F$7:$F$196,"苏冰",'逐条表现'!$G$7:$G$196,"15m",'逐条表现'!$D$7:$D$196,"硅铁")/K46)</x:f>
      </x:c>
      <x:c r="N46" s="16" t="n">
        <x:f>C46-K46-COUNTIFS('逐条表现'!$F$7:$F$196,"苏冰",'逐条表现'!$G$7:$G$196,"15m",'逐条表现'!$D$7:$D$196,"硅铁",'逐条表现'!$AK$7:$AK$196,"待观察")</x:f>
        <x:v>2</x:v>
      </x:c>
      <x:c r="O46" s="16" t="n">
        <x:f>COUNTIFS('逐条表现'!$F$7:$F$196,"苏冰",'逐条表现'!$G$7:$G$196,"15m",'逐条表现'!$D$7:$D$196,"硅铁",'逐条表现'!$N$7:$N$196,"&gt;0",'逐条表现'!$O$7:$O$196,"&lt;0")</x:f>
        <x:v>0</x:v>
      </x:c>
      <x:c r="P46" s="16" t="n">
        <x:f>COUNTIFS('逐条表现'!$F$7:$F$196,"苏冰",'逐条表现'!$G$7:$G$196,"15m",'逐条表现'!$D$7:$D$196,"硅铁",'逐条表现'!$N$7:$N$196,"&gt;0",'逐条表现'!$O$7:$O$196,"=0")</x:f>
        <x:v>0</x:v>
      </x:c>
      <x:c r="Q46" s="16" t="n">
        <x:f>COUNTIFS('逐条表现'!$F$7:$F$196,"苏冰",'逐条表现'!$G$7:$G$196,"15m",'逐条表现'!$D$7:$D$196,"硅铁",'逐条表现'!$P$7:$P$196,"&gt;0",'逐条表现'!$Q$7:$Q$196,"&lt;0")</x:f>
        <x:v>0</x:v>
      </x:c>
      <x:c r="R46" s="16" t="n">
        <x:f>COUNTIFS('逐条表现'!$F$7:$F$196,"苏冰",'逐条表现'!$G$7:$G$196,"15m",'逐条表现'!$D$7:$D$196,"硅铁",'逐条表现'!$P$7:$P$196,"&gt;0",'逐条表现'!$Q$7:$Q$196,"=0")</x:f>
        <x:v>0</x:v>
      </x:c>
      <x:c r="S46" s="16" t="n">
        <x:f>COUNTIFS('逐条表现'!$F$7:$F$196,"苏冰",'逐条表现'!$G$7:$G$196,"15m",'逐条表现'!$D$7:$D$196,"硅铁",'逐条表现'!$R$7:$R$196,"&gt;0",'逐条表现'!$S$7:$S$196,"&lt;0")</x:f>
        <x:v>0</x:v>
      </x:c>
      <x:c r="T46" s="16" t="n">
        <x:f>COUNTIFS('逐条表现'!$F$7:$F$196,"苏冰",'逐条表现'!$G$7:$G$196,"15m",'逐条表现'!$D$7:$D$196,"硅铁",'逐条表现'!$R$7:$R$196,"&gt;0",'逐条表现'!$S$7:$S$196,"=0")</x:f>
        <x:v>0</x:v>
      </x:c>
      <x:c r="U46" s="5" t="str">
        <x:f>IF(E46=0,"",SUMIFS('逐条表现'!$O$7:$O$196,'逐条表现'!$F$7:$F$196,"苏冰",'逐条表现'!$G$7:$G$196,"15m",'逐条表现'!$D$7:$D$196,"硅铁")/E46)</x:f>
      </x:c>
      <x:c r="V46" s="5" t="str">
        <x:f>IF(H46=0,"",SUMIFS('逐条表现'!$Q$7:$Q$196,'逐条表现'!$F$7:$F$196,"苏冰",'逐条表现'!$G$7:$G$196,"15m",'逐条表现'!$D$7:$D$196,"硅铁")/H46)</x:f>
      </x:c>
      <x:c r="W46" s="16" t="n">
        <x:f>C46-K46-N46</x:f>
        <x:v>0</x:v>
      </x:c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</x:row>
    <x:row r="47" ht="27" customHeight="1">
      <x:c r="A47" s="2" t="str">
        <x:v>碳酸锂 LC 苏冰</x:v>
      </x:c>
      <x:c r="B47" s="2" t="str">
        <x:v>15m</x:v>
      </x:c>
      <x:c r="C47" s="16" t="n">
        <x:f>COUNTIFS('逐条表现'!$F$7:$F$196,"苏冰",'逐条表现'!$G$7:$G$196,"15m",'逐条表现'!$D$7:$D$196,"碳酸锂")</x:f>
        <x:v>1</x:v>
      </x:c>
      <x:c r="D47" s="16" t="n">
        <x:f>COUNTIFS('逐条表现'!$F$7:$F$196,"苏冰",'逐条表现'!$G$7:$G$196,"15m",'逐条表现'!$D$7:$D$196,"碳酸锂",'逐条表现'!$N$7:$N$196,"&gt;0",'逐条表现'!$O$7:$O$196,"&gt;0")</x:f>
        <x:v>0</x:v>
      </x:c>
      <x:c r="E47" s="16" t="n">
        <x:f>COUNTIFS('逐条表现'!$F$7:$F$196,"苏冰",'逐条表现'!$G$7:$G$196,"15m",'逐条表现'!$D$7:$D$196,"碳酸锂",'逐条表现'!$N$7:$N$196,"&gt;0")</x:f>
        <x:v>0</x:v>
      </x:c>
      <x:c r="F47" s="17" t="str">
        <x:f>IF(E47=0,"",D47/E47)</x:f>
      </x:c>
      <x:c r="G47" s="16" t="n">
        <x:f>COUNTIFS('逐条表现'!$F$7:$F$196,"苏冰",'逐条表现'!$G$7:$G$196,"15m",'逐条表现'!$D$7:$D$196,"碳酸锂",'逐条表现'!$P$7:$P$196,"&gt;0",'逐条表现'!$Q$7:$Q$196,"&gt;0")</x:f>
        <x:v>0</x:v>
      </x:c>
      <x:c r="H47" s="16" t="n">
        <x:f>COUNTIFS('逐条表现'!$F$7:$F$196,"苏冰",'逐条表现'!$G$7:$G$196,"15m",'逐条表现'!$D$7:$D$196,"碳酸锂",'逐条表现'!$P$7:$P$196,"&gt;0")</x:f>
        <x:v>0</x:v>
      </x:c>
      <x:c r="I47" s="17" t="str">
        <x:f>IF(H47=0,"",G47/H47)</x:f>
      </x:c>
      <x:c r="J47" s="16" t="n">
        <x:f>COUNTIFS('逐条表现'!$F$7:$F$196,"苏冰",'逐条表现'!$G$7:$G$196,"15m",'逐条表现'!$D$7:$D$196,"碳酸锂",'逐条表现'!$R$7:$R$196,"&gt;0",'逐条表现'!$S$7:$S$196,"&gt;0")</x:f>
        <x:v>0</x:v>
      </x:c>
      <x:c r="K47" s="16" t="n">
        <x:f>COUNTIFS('逐条表现'!$F$7:$F$196,"苏冰",'逐条表现'!$G$7:$G$196,"15m",'逐条表现'!$D$7:$D$196,"碳酸锂",'逐条表现'!$R$7:$R$196,"&gt;0")</x:f>
        <x:v>0</x:v>
      </x:c>
      <x:c r="L47" s="17" t="str">
        <x:f>IF(K47=0,"",J47/K47)</x:f>
      </x:c>
      <x:c r="M47" s="5" t="str">
        <x:f>IF(K47=0,"",SUMIFS('逐条表现'!$S$7:$S$196,'逐条表现'!$F$7:$F$196,"苏冰",'逐条表现'!$G$7:$G$196,"15m",'逐条表现'!$D$7:$D$196,"碳酸锂")/K47)</x:f>
      </x:c>
      <x:c r="N47" s="16" t="n">
        <x:f>C47-K47-COUNTIFS('逐条表现'!$F$7:$F$196,"苏冰",'逐条表现'!$G$7:$G$196,"15m",'逐条表现'!$D$7:$D$196,"碳酸锂",'逐条表现'!$AK$7:$AK$196,"待观察")</x:f>
        <x:v>1</x:v>
      </x:c>
      <x:c r="O47" s="16" t="n">
        <x:f>COUNTIFS('逐条表现'!$F$7:$F$196,"苏冰",'逐条表现'!$G$7:$G$196,"15m",'逐条表现'!$D$7:$D$196,"碳酸锂",'逐条表现'!$N$7:$N$196,"&gt;0",'逐条表现'!$O$7:$O$196,"&lt;0")</x:f>
        <x:v>0</x:v>
      </x:c>
      <x:c r="P47" s="16" t="n">
        <x:f>COUNTIFS('逐条表现'!$F$7:$F$196,"苏冰",'逐条表现'!$G$7:$G$196,"15m",'逐条表现'!$D$7:$D$196,"碳酸锂",'逐条表现'!$N$7:$N$196,"&gt;0",'逐条表现'!$O$7:$O$196,"=0")</x:f>
        <x:v>0</x:v>
      </x:c>
      <x:c r="Q47" s="16" t="n">
        <x:f>COUNTIFS('逐条表现'!$F$7:$F$196,"苏冰",'逐条表现'!$G$7:$G$196,"15m",'逐条表现'!$D$7:$D$196,"碳酸锂",'逐条表现'!$P$7:$P$196,"&gt;0",'逐条表现'!$Q$7:$Q$196,"&lt;0")</x:f>
        <x:v>0</x:v>
      </x:c>
      <x:c r="R47" s="16" t="n">
        <x:f>COUNTIFS('逐条表现'!$F$7:$F$196,"苏冰",'逐条表现'!$G$7:$G$196,"15m",'逐条表现'!$D$7:$D$196,"碳酸锂",'逐条表现'!$P$7:$P$196,"&gt;0",'逐条表现'!$Q$7:$Q$196,"=0")</x:f>
        <x:v>0</x:v>
      </x:c>
      <x:c r="S47" s="16" t="n">
        <x:f>COUNTIFS('逐条表现'!$F$7:$F$196,"苏冰",'逐条表现'!$G$7:$G$196,"15m",'逐条表现'!$D$7:$D$196,"碳酸锂",'逐条表现'!$R$7:$R$196,"&gt;0",'逐条表现'!$S$7:$S$196,"&lt;0")</x:f>
        <x:v>0</x:v>
      </x:c>
      <x:c r="T47" s="16" t="n">
        <x:f>COUNTIFS('逐条表现'!$F$7:$F$196,"苏冰",'逐条表现'!$G$7:$G$196,"15m",'逐条表现'!$D$7:$D$196,"碳酸锂",'逐条表现'!$R$7:$R$196,"&gt;0",'逐条表现'!$S$7:$S$196,"=0")</x:f>
        <x:v>0</x:v>
      </x:c>
      <x:c r="U47" s="5" t="str">
        <x:f>IF(E47=0,"",SUMIFS('逐条表现'!$O$7:$O$196,'逐条表现'!$F$7:$F$196,"苏冰",'逐条表现'!$G$7:$G$196,"15m",'逐条表现'!$D$7:$D$196,"碳酸锂")/E47)</x:f>
      </x:c>
      <x:c r="V47" s="5" t="str">
        <x:f>IF(H47=0,"",SUMIFS('逐条表现'!$Q$7:$Q$196,'逐条表现'!$F$7:$F$196,"苏冰",'逐条表现'!$G$7:$G$196,"15m",'逐条表现'!$D$7:$D$196,"碳酸锂")/H47)</x:f>
      </x:c>
      <x:c r="W47" s="16" t="n">
        <x:f>C47-K47-N47</x:f>
        <x:v>0</x:v>
      </x:c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</x:row>
    <x:row r="48" ht="27" customHeight="1">
      <x:c r="A48" s="2" t="str">
        <x:v>红枣 CJ 苏冰</x:v>
      </x:c>
      <x:c r="B48" s="2" t="str">
        <x:v>15m</x:v>
      </x:c>
      <x:c r="C48" s="16" t="n">
        <x:f>COUNTIFS('逐条表现'!$F$7:$F$196,"苏冰",'逐条表现'!$G$7:$G$196,"15m",'逐条表现'!$D$7:$D$196,"红枣")</x:f>
        <x:v>4</x:v>
      </x:c>
      <x:c r="D48" s="16" t="n">
        <x:f>COUNTIFS('逐条表现'!$F$7:$F$196,"苏冰",'逐条表现'!$G$7:$G$196,"15m",'逐条表现'!$D$7:$D$196,"红枣",'逐条表现'!$N$7:$N$196,"&gt;0",'逐条表现'!$O$7:$O$196,"&gt;0")</x:f>
        <x:v>1</x:v>
      </x:c>
      <x:c r="E48" s="16" t="n">
        <x:f>COUNTIFS('逐条表现'!$F$7:$F$196,"苏冰",'逐条表现'!$G$7:$G$196,"15m",'逐条表现'!$D$7:$D$196,"红枣",'逐条表现'!$N$7:$N$196,"&gt;0")</x:f>
        <x:v>2</x:v>
      </x:c>
      <x:c r="F48" s="17" t="n">
        <x:f>IF(E48=0,"",D48/E48)</x:f>
        <x:v>0.5</x:v>
      </x:c>
      <x:c r="G48" s="16" t="n">
        <x:f>COUNTIFS('逐条表现'!$F$7:$F$196,"苏冰",'逐条表现'!$G$7:$G$196,"15m",'逐条表现'!$D$7:$D$196,"红枣",'逐条表现'!$P$7:$P$196,"&gt;0",'逐条表现'!$Q$7:$Q$196,"&gt;0")</x:f>
        <x:v>0</x:v>
      </x:c>
      <x:c r="H48" s="16" t="n">
        <x:f>COUNTIFS('逐条表现'!$F$7:$F$196,"苏冰",'逐条表现'!$G$7:$G$196,"15m",'逐条表现'!$D$7:$D$196,"红枣",'逐条表现'!$P$7:$P$196,"&gt;0")</x:f>
        <x:v>1</x:v>
      </x:c>
      <x:c r="I48" s="17" t="n">
        <x:f>IF(H48=0,"",G48/H48)</x:f>
        <x:v>0</x:v>
      </x:c>
      <x:c r="J48" s="16" t="n">
        <x:f>COUNTIFS('逐条表现'!$F$7:$F$196,"苏冰",'逐条表现'!$G$7:$G$196,"15m",'逐条表现'!$D$7:$D$196,"红枣",'逐条表现'!$R$7:$R$196,"&gt;0",'逐条表现'!$S$7:$S$196,"&gt;0")</x:f>
        <x:v>0</x:v>
      </x:c>
      <x:c r="K48" s="16" t="n">
        <x:f>COUNTIFS('逐条表现'!$F$7:$F$196,"苏冰",'逐条表现'!$G$7:$G$196,"15m",'逐条表现'!$D$7:$D$196,"红枣",'逐条表现'!$R$7:$R$196,"&gt;0")</x:f>
        <x:v>1</x:v>
      </x:c>
      <x:c r="L48" s="17" t="n">
        <x:f>IF(K48=0,"",J48/K48)</x:f>
        <x:v>0</x:v>
      </x:c>
      <x:c r="M48" s="5" t="n">
        <x:f>IF(K48=0,"",SUMIFS('逐条表现'!$S$7:$S$196,'逐条表现'!$F$7:$F$196,"苏冰",'逐条表现'!$G$7:$G$196,"15m",'逐条表现'!$D$7:$D$196,"红枣")/K48)</x:f>
        <x:v>-0.004391468005018773</x:v>
      </x:c>
      <x:c r="N48" s="16" t="n">
        <x:f>C48-K48-COUNTIFS('逐条表现'!$F$7:$F$196,"苏冰",'逐条表现'!$G$7:$G$196,"15m",'逐条表现'!$D$7:$D$196,"红枣",'逐条表现'!$AK$7:$AK$196,"待观察")</x:f>
        <x:v>3</x:v>
      </x:c>
      <x:c r="O48" s="16" t="n">
        <x:f>COUNTIFS('逐条表现'!$F$7:$F$196,"苏冰",'逐条表现'!$G$7:$G$196,"15m",'逐条表现'!$D$7:$D$196,"红枣",'逐条表现'!$N$7:$N$196,"&gt;0",'逐条表现'!$O$7:$O$196,"&lt;0")</x:f>
        <x:v>1</x:v>
      </x:c>
      <x:c r="P48" s="16" t="n">
        <x:f>COUNTIFS('逐条表现'!$F$7:$F$196,"苏冰",'逐条表现'!$G$7:$G$196,"15m",'逐条表现'!$D$7:$D$196,"红枣",'逐条表现'!$N$7:$N$196,"&gt;0",'逐条表现'!$O$7:$O$196,"=0")</x:f>
        <x:v>0</x:v>
      </x:c>
      <x:c r="Q48" s="16" t="n">
        <x:f>COUNTIFS('逐条表现'!$F$7:$F$196,"苏冰",'逐条表现'!$G$7:$G$196,"15m",'逐条表现'!$D$7:$D$196,"红枣",'逐条表现'!$P$7:$P$196,"&gt;0",'逐条表现'!$Q$7:$Q$196,"&lt;0")</x:f>
        <x:v>1</x:v>
      </x:c>
      <x:c r="R48" s="16" t="n">
        <x:f>COUNTIFS('逐条表现'!$F$7:$F$196,"苏冰",'逐条表现'!$G$7:$G$196,"15m",'逐条表现'!$D$7:$D$196,"红枣",'逐条表现'!$P$7:$P$196,"&gt;0",'逐条表现'!$Q$7:$Q$196,"=0")</x:f>
        <x:v>0</x:v>
      </x:c>
      <x:c r="S48" s="16" t="n">
        <x:f>COUNTIFS('逐条表现'!$F$7:$F$196,"苏冰",'逐条表现'!$G$7:$G$196,"15m",'逐条表现'!$D$7:$D$196,"红枣",'逐条表现'!$R$7:$R$196,"&gt;0",'逐条表现'!$S$7:$S$196,"&lt;0")</x:f>
        <x:v>1</x:v>
      </x:c>
      <x:c r="T48" s="16" t="n">
        <x:f>COUNTIFS('逐条表现'!$F$7:$F$196,"苏冰",'逐条表现'!$G$7:$G$196,"15m",'逐条表现'!$D$7:$D$196,"红枣",'逐条表现'!$R$7:$R$196,"&gt;0",'逐条表现'!$S$7:$S$196,"=0")</x:f>
        <x:v>0</x:v>
      </x:c>
      <x:c r="U48" s="5" t="n">
        <x:f>IF(E48=0,"",SUMIFS('逐条表现'!$O$7:$O$196,'逐条表现'!$F$7:$F$196,"苏冰",'逐条表现'!$G$7:$G$196,"15m",'逐条表现'!$D$7:$D$196,"红枣")/E48)</x:f>
        <x:v>-0.0012529240171146316</x:v>
      </x:c>
      <x:c r="V48" s="5" t="n">
        <x:f>IF(H48=0,"",SUMIFS('逐条表现'!$Q$7:$Q$196,'逐条表现'!$F$7:$F$196,"苏冰",'逐条表现'!$G$7:$G$196,"15m",'逐条表现'!$D$7:$D$196,"红枣")/H48)</x:f>
        <x:v>-0.0031367628607277265</x:v>
      </x:c>
      <x:c r="W48" s="16" t="n">
        <x:f>C48-K48-N48</x:f>
        <x:v>0</x:v>
      </x:c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</x:row>
    <x:row r="49" ht="27" customHeight="1">
      <x:c r="A49" s="2" t="str">
        <x:v>纯碱 SA 苏冰</x:v>
      </x:c>
      <x:c r="B49" s="2" t="str">
        <x:v>15m</x:v>
      </x:c>
      <x:c r="C49" s="16" t="n">
        <x:f>COUNTIFS('逐条表现'!$F$7:$F$196,"苏冰",'逐条表现'!$G$7:$G$196,"15m",'逐条表现'!$D$7:$D$196,"纯碱")</x:f>
        <x:v>5</x:v>
      </x:c>
      <x:c r="D49" s="16" t="n">
        <x:f>COUNTIFS('逐条表现'!$F$7:$F$196,"苏冰",'逐条表现'!$G$7:$G$196,"15m",'逐条表现'!$D$7:$D$196,"纯碱",'逐条表现'!$N$7:$N$196,"&gt;0",'逐条表现'!$O$7:$O$196,"&gt;0")</x:f>
        <x:v>1</x:v>
      </x:c>
      <x:c r="E49" s="16" t="n">
        <x:f>COUNTIFS('逐条表现'!$F$7:$F$196,"苏冰",'逐条表现'!$G$7:$G$196,"15m",'逐条表现'!$D$7:$D$196,"纯碱",'逐条表现'!$N$7:$N$196,"&gt;0")</x:f>
        <x:v>1</x:v>
      </x:c>
      <x:c r="F49" s="17" t="n">
        <x:f>IF(E49=0,"",D49/E49)</x:f>
        <x:v>1</x:v>
      </x:c>
      <x:c r="G49" s="16" t="n">
        <x:f>COUNTIFS('逐条表现'!$F$7:$F$196,"苏冰",'逐条表现'!$G$7:$G$196,"15m",'逐条表现'!$D$7:$D$196,"纯碱",'逐条表现'!$P$7:$P$196,"&gt;0",'逐条表现'!$Q$7:$Q$196,"&gt;0")</x:f>
        <x:v>1</x:v>
      </x:c>
      <x:c r="H49" s="16" t="n">
        <x:f>COUNTIFS('逐条表现'!$F$7:$F$196,"苏冰",'逐条表现'!$G$7:$G$196,"15m",'逐条表现'!$D$7:$D$196,"纯碱",'逐条表现'!$P$7:$P$196,"&gt;0")</x:f>
        <x:v>1</x:v>
      </x:c>
      <x:c r="I49" s="17" t="n">
        <x:f>IF(H49=0,"",G49/H49)</x:f>
        <x:v>1</x:v>
      </x:c>
      <x:c r="J49" s="16" t="n">
        <x:f>COUNTIFS('逐条表现'!$F$7:$F$196,"苏冰",'逐条表现'!$G$7:$G$196,"15m",'逐条表现'!$D$7:$D$196,"纯碱",'逐条表现'!$R$7:$R$196,"&gt;0",'逐条表现'!$S$7:$S$196,"&gt;0")</x:f>
        <x:v>1</x:v>
      </x:c>
      <x:c r="K49" s="16" t="n">
        <x:f>COUNTIFS('逐条表现'!$F$7:$F$196,"苏冰",'逐条表现'!$G$7:$G$196,"15m",'逐条表现'!$D$7:$D$196,"纯碱",'逐条表现'!$R$7:$R$196,"&gt;0")</x:f>
        <x:v>1</x:v>
      </x:c>
      <x:c r="L49" s="17" t="n">
        <x:f>IF(K49=0,"",J49/K49)</x:f>
        <x:v>1</x:v>
      </x:c>
      <x:c r="M49" s="5" t="n">
        <x:f>IF(K49=0,"",SUMIFS('逐条表现'!$S$7:$S$196,'逐条表现'!$F$7:$F$196,"苏冰",'逐条表现'!$G$7:$G$196,"15m",'逐条表现'!$D$7:$D$196,"纯碱")/K49)</x:f>
        <x:v>0.00746268656716409</x:v>
      </x:c>
      <x:c r="N49" s="16" t="n">
        <x:f>C49-K49-COUNTIFS('逐条表现'!$F$7:$F$196,"苏冰",'逐条表现'!$G$7:$G$196,"15m",'逐条表现'!$D$7:$D$196,"纯碱",'逐条表现'!$AK$7:$AK$196,"待观察")</x:f>
        <x:v>4</x:v>
      </x:c>
      <x:c r="O49" s="16" t="n">
        <x:f>COUNTIFS('逐条表现'!$F$7:$F$196,"苏冰",'逐条表现'!$G$7:$G$196,"15m",'逐条表现'!$D$7:$D$196,"纯碱",'逐条表现'!$N$7:$N$196,"&gt;0",'逐条表现'!$O$7:$O$196,"&lt;0")</x:f>
        <x:v>0</x:v>
      </x:c>
      <x:c r="P49" s="16" t="n">
        <x:f>COUNTIFS('逐条表现'!$F$7:$F$196,"苏冰",'逐条表现'!$G$7:$G$196,"15m",'逐条表现'!$D$7:$D$196,"纯碱",'逐条表现'!$N$7:$N$196,"&gt;0",'逐条表现'!$O$7:$O$196,"=0")</x:f>
        <x:v>0</x:v>
      </x:c>
      <x:c r="Q49" s="16" t="n">
        <x:f>COUNTIFS('逐条表现'!$F$7:$F$196,"苏冰",'逐条表现'!$G$7:$G$196,"15m",'逐条表现'!$D$7:$D$196,"纯碱",'逐条表现'!$P$7:$P$196,"&gt;0",'逐条表现'!$Q$7:$Q$196,"&lt;0")</x:f>
        <x:v>0</x:v>
      </x:c>
      <x:c r="R49" s="16" t="n">
        <x:f>COUNTIFS('逐条表现'!$F$7:$F$196,"苏冰",'逐条表现'!$G$7:$G$196,"15m",'逐条表现'!$D$7:$D$196,"纯碱",'逐条表现'!$P$7:$P$196,"&gt;0",'逐条表现'!$Q$7:$Q$196,"=0")</x:f>
        <x:v>0</x:v>
      </x:c>
      <x:c r="S49" s="16" t="n">
        <x:f>COUNTIFS('逐条表现'!$F$7:$F$196,"苏冰",'逐条表现'!$G$7:$G$196,"15m",'逐条表现'!$D$7:$D$196,"纯碱",'逐条表现'!$R$7:$R$196,"&gt;0",'逐条表现'!$S$7:$S$196,"&lt;0")</x:f>
        <x:v>0</x:v>
      </x:c>
      <x:c r="T49" s="16" t="n">
        <x:f>COUNTIFS('逐条表现'!$F$7:$F$196,"苏冰",'逐条表现'!$G$7:$G$196,"15m",'逐条表现'!$D$7:$D$196,"纯碱",'逐条表现'!$R$7:$R$196,"&gt;0",'逐条表现'!$S$7:$S$196,"=0")</x:f>
        <x:v>0</x:v>
      </x:c>
      <x:c r="U49" s="5" t="n">
        <x:f>IF(E49=0,"",SUMIFS('逐条表现'!$O$7:$O$196,'逐条表现'!$F$7:$F$196,"苏冰",'逐条表现'!$G$7:$G$196,"15m",'逐条表现'!$D$7:$D$196,"纯碱")/E49)</x:f>
        <x:v>0.002798507462686617</x:v>
      </x:c>
      <x:c r="V49" s="5" t="n">
        <x:f>IF(H49=0,"",SUMIFS('逐条表现'!$Q$7:$Q$196,'逐条表现'!$F$7:$F$196,"苏冰",'逐条表现'!$G$7:$G$196,"15m",'逐条表现'!$D$7:$D$196,"纯碱")/H49)</x:f>
        <x:v>0.001865671641791078</x:v>
      </x:c>
      <x:c r="W49" s="16" t="n">
        <x:f>C49-K49-N49</x:f>
        <x:v>0</x:v>
      </x:c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</x:row>
    <x:row r="50" ht="27" customHeight="1">
      <x:c r="A50" s="2" t="str">
        <x:v>纯苯 BZ 苏冰</x:v>
      </x:c>
      <x:c r="B50" s="2" t="str">
        <x:v>15m</x:v>
      </x:c>
      <x:c r="C50" s="16" t="n">
        <x:f>COUNTIFS('逐条表现'!$F$7:$F$196,"苏冰",'逐条表现'!$G$7:$G$196,"15m",'逐条表现'!$D$7:$D$196,"纯苯")</x:f>
        <x:v>2</x:v>
      </x:c>
      <x:c r="D50" s="16" t="n">
        <x:f>COUNTIFS('逐条表现'!$F$7:$F$196,"苏冰",'逐条表现'!$G$7:$G$196,"15m",'逐条表现'!$D$7:$D$196,"纯苯",'逐条表现'!$N$7:$N$196,"&gt;0",'逐条表现'!$O$7:$O$196,"&gt;0")</x:f>
        <x:v>1</x:v>
      </x:c>
      <x:c r="E50" s="16" t="n">
        <x:f>COUNTIFS('逐条表现'!$F$7:$F$196,"苏冰",'逐条表现'!$G$7:$G$196,"15m",'逐条表现'!$D$7:$D$196,"纯苯",'逐条表现'!$N$7:$N$196,"&gt;0")</x:f>
        <x:v>1</x:v>
      </x:c>
      <x:c r="F50" s="17" t="n">
        <x:f>IF(E50=0,"",D50/E50)</x:f>
        <x:v>1</x:v>
      </x:c>
      <x:c r="G50" s="16" t="n">
        <x:f>COUNTIFS('逐条表现'!$F$7:$F$196,"苏冰",'逐条表现'!$G$7:$G$196,"15m",'逐条表现'!$D$7:$D$196,"纯苯",'逐条表现'!$P$7:$P$196,"&gt;0",'逐条表现'!$Q$7:$Q$196,"&gt;0")</x:f>
        <x:v>1</x:v>
      </x:c>
      <x:c r="H50" s="16" t="n">
        <x:f>COUNTIFS('逐条表现'!$F$7:$F$196,"苏冰",'逐条表现'!$G$7:$G$196,"15m",'逐条表现'!$D$7:$D$196,"纯苯",'逐条表现'!$P$7:$P$196,"&gt;0")</x:f>
        <x:v>1</x:v>
      </x:c>
      <x:c r="I50" s="17" t="n">
        <x:f>IF(H50=0,"",G50/H50)</x:f>
        <x:v>1</x:v>
      </x:c>
      <x:c r="J50" s="16" t="n">
        <x:f>COUNTIFS('逐条表现'!$F$7:$F$196,"苏冰",'逐条表现'!$G$7:$G$196,"15m",'逐条表现'!$D$7:$D$196,"纯苯",'逐条表现'!$R$7:$R$196,"&gt;0",'逐条表现'!$S$7:$S$196,"&gt;0")</x:f>
        <x:v>1</x:v>
      </x:c>
      <x:c r="K50" s="16" t="n">
        <x:f>COUNTIFS('逐条表现'!$F$7:$F$196,"苏冰",'逐条表现'!$G$7:$G$196,"15m",'逐条表现'!$D$7:$D$196,"纯苯",'逐条表现'!$R$7:$R$196,"&gt;0")</x:f>
        <x:v>1</x:v>
      </x:c>
      <x:c r="L50" s="17" t="n">
        <x:f>IF(K50=0,"",J50/K50)</x:f>
        <x:v>1</x:v>
      </x:c>
      <x:c r="M50" s="5" t="n">
        <x:f>IF(K50=0,"",SUMIFS('逐条表现'!$S$7:$S$196,'逐条表现'!$F$7:$F$196,"苏冰",'逐条表现'!$G$7:$G$196,"15m",'逐条表现'!$D$7:$D$196,"纯苯")/K50)</x:f>
        <x:v>0.01534526854219953</x:v>
      </x:c>
      <x:c r="N50" s="16" t="n">
        <x:f>C50-K50-COUNTIFS('逐条表现'!$F$7:$F$196,"苏冰",'逐条表现'!$G$7:$G$196,"15m",'逐条表现'!$D$7:$D$196,"纯苯",'逐条表现'!$AK$7:$AK$196,"待观察")</x:f>
        <x:v>1</x:v>
      </x:c>
      <x:c r="O50" s="16" t="n">
        <x:f>COUNTIFS('逐条表现'!$F$7:$F$196,"苏冰",'逐条表现'!$G$7:$G$196,"15m",'逐条表现'!$D$7:$D$196,"纯苯",'逐条表现'!$N$7:$N$196,"&gt;0",'逐条表现'!$O$7:$O$196,"&lt;0")</x:f>
        <x:v>0</x:v>
      </x:c>
      <x:c r="P50" s="16" t="n">
        <x:f>COUNTIFS('逐条表现'!$F$7:$F$196,"苏冰",'逐条表现'!$G$7:$G$196,"15m",'逐条表现'!$D$7:$D$196,"纯苯",'逐条表现'!$N$7:$N$196,"&gt;0",'逐条表现'!$O$7:$O$196,"=0")</x:f>
        <x:v>0</x:v>
      </x:c>
      <x:c r="Q50" s="16" t="n">
        <x:f>COUNTIFS('逐条表现'!$F$7:$F$196,"苏冰",'逐条表现'!$G$7:$G$196,"15m",'逐条表现'!$D$7:$D$196,"纯苯",'逐条表现'!$P$7:$P$196,"&gt;0",'逐条表现'!$Q$7:$Q$196,"&lt;0")</x:f>
        <x:v>0</x:v>
      </x:c>
      <x:c r="R50" s="16" t="n">
        <x:f>COUNTIFS('逐条表现'!$F$7:$F$196,"苏冰",'逐条表现'!$G$7:$G$196,"15m",'逐条表现'!$D$7:$D$196,"纯苯",'逐条表现'!$P$7:$P$196,"&gt;0",'逐条表现'!$Q$7:$Q$196,"=0")</x:f>
        <x:v>0</x:v>
      </x:c>
      <x:c r="S50" s="16" t="n">
        <x:f>COUNTIFS('逐条表现'!$F$7:$F$196,"苏冰",'逐条表现'!$G$7:$G$196,"15m",'逐条表现'!$D$7:$D$196,"纯苯",'逐条表现'!$R$7:$R$196,"&gt;0",'逐条表现'!$S$7:$S$196,"&lt;0")</x:f>
        <x:v>0</x:v>
      </x:c>
      <x:c r="T50" s="16" t="n">
        <x:f>COUNTIFS('逐条表现'!$F$7:$F$196,"苏冰",'逐条表现'!$G$7:$G$196,"15m",'逐条表现'!$D$7:$D$196,"纯苯",'逐条表现'!$R$7:$R$196,"&gt;0",'逐条表现'!$S$7:$S$196,"=0")</x:f>
        <x:v>0</x:v>
      </x:c>
      <x:c r="U50" s="5" t="n">
        <x:f>IF(E50=0,"",SUMIFS('逐条表现'!$O$7:$O$196,'逐条表现'!$F$7:$F$196,"苏冰",'逐条表现'!$G$7:$G$196,"15m",'逐条表现'!$D$7:$D$196,"纯苯")/E50)</x:f>
        <x:v>0.0020925366193909056</x:v>
      </x:c>
      <x:c r="V50" s="5" t="n">
        <x:f>IF(H50=0,"",SUMIFS('逐条表现'!$Q$7:$Q$196,'逐条表现'!$F$7:$F$196,"苏冰",'逐条表现'!$G$7:$G$196,"15m",'逐条表现'!$D$7:$D$196,"纯苯")/H50)</x:f>
        <x:v>0.009067658684027036</x:v>
      </x:c>
      <x:c r="W50" s="16" t="n">
        <x:f>C50-K50-N50</x:f>
        <x:v>0</x:v>
      </x:c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</x:row>
    <x:row r="51" ht="27" customHeight="1">
      <x:c r="A51" s="2" t="str">
        <x:v>聚丙烯 PP 苏冰</x:v>
      </x:c>
      <x:c r="B51" s="2" t="str">
        <x:v>15m</x:v>
      </x:c>
      <x:c r="C51" s="16" t="n">
        <x:f>COUNTIFS('逐条表现'!$F$7:$F$196,"苏冰",'逐条表现'!$G$7:$G$196,"15m",'逐条表现'!$D$7:$D$196,"聚丙烯")</x:f>
        <x:v>2</x:v>
      </x:c>
      <x:c r="D51" s="16" t="n">
        <x:f>COUNTIFS('逐条表现'!$F$7:$F$196,"苏冰",'逐条表现'!$G$7:$G$196,"15m",'逐条表现'!$D$7:$D$196,"聚丙烯",'逐条表现'!$N$7:$N$196,"&gt;0",'逐条表现'!$O$7:$O$196,"&gt;0")</x:f>
        <x:v>0</x:v>
      </x:c>
      <x:c r="E51" s="16" t="n">
        <x:f>COUNTIFS('逐条表现'!$F$7:$F$196,"苏冰",'逐条表现'!$G$7:$G$196,"15m",'逐条表现'!$D$7:$D$196,"聚丙烯",'逐条表现'!$N$7:$N$196,"&gt;0")</x:f>
        <x:v>0</x:v>
      </x:c>
      <x:c r="F51" s="17" t="str">
        <x:f>IF(E51=0,"",D51/E51)</x:f>
      </x:c>
      <x:c r="G51" s="16" t="n">
        <x:f>COUNTIFS('逐条表现'!$F$7:$F$196,"苏冰",'逐条表现'!$G$7:$G$196,"15m",'逐条表现'!$D$7:$D$196,"聚丙烯",'逐条表现'!$P$7:$P$196,"&gt;0",'逐条表现'!$Q$7:$Q$196,"&gt;0")</x:f>
        <x:v>0</x:v>
      </x:c>
      <x:c r="H51" s="16" t="n">
        <x:f>COUNTIFS('逐条表现'!$F$7:$F$196,"苏冰",'逐条表现'!$G$7:$G$196,"15m",'逐条表现'!$D$7:$D$196,"聚丙烯",'逐条表现'!$P$7:$P$196,"&gt;0")</x:f>
        <x:v>0</x:v>
      </x:c>
      <x:c r="I51" s="17" t="str">
        <x:f>IF(H51=0,"",G51/H51)</x:f>
      </x:c>
      <x:c r="J51" s="16" t="n">
        <x:f>COUNTIFS('逐条表现'!$F$7:$F$196,"苏冰",'逐条表现'!$G$7:$G$196,"15m",'逐条表现'!$D$7:$D$196,"聚丙烯",'逐条表现'!$R$7:$R$196,"&gt;0",'逐条表现'!$S$7:$S$196,"&gt;0")</x:f>
        <x:v>0</x:v>
      </x:c>
      <x:c r="K51" s="16" t="n">
        <x:f>COUNTIFS('逐条表现'!$F$7:$F$196,"苏冰",'逐条表现'!$G$7:$G$196,"15m",'逐条表现'!$D$7:$D$196,"聚丙烯",'逐条表现'!$R$7:$R$196,"&gt;0")</x:f>
        <x:v>0</x:v>
      </x:c>
      <x:c r="L51" s="17" t="str">
        <x:f>IF(K51=0,"",J51/K51)</x:f>
      </x:c>
      <x:c r="M51" s="5" t="str">
        <x:f>IF(K51=0,"",SUMIFS('逐条表现'!$S$7:$S$196,'逐条表现'!$F$7:$F$196,"苏冰",'逐条表现'!$G$7:$G$196,"15m",'逐条表现'!$D$7:$D$196,"聚丙烯")/K51)</x:f>
      </x:c>
      <x:c r="N51" s="16" t="n">
        <x:f>C51-K51-COUNTIFS('逐条表现'!$F$7:$F$196,"苏冰",'逐条表现'!$G$7:$G$196,"15m",'逐条表现'!$D$7:$D$196,"聚丙烯",'逐条表现'!$AK$7:$AK$196,"待观察")</x:f>
        <x:v>2</x:v>
      </x:c>
      <x:c r="O51" s="16" t="n">
        <x:f>COUNTIFS('逐条表现'!$F$7:$F$196,"苏冰",'逐条表现'!$G$7:$G$196,"15m",'逐条表现'!$D$7:$D$196,"聚丙烯",'逐条表现'!$N$7:$N$196,"&gt;0",'逐条表现'!$O$7:$O$196,"&lt;0")</x:f>
        <x:v>0</x:v>
      </x:c>
      <x:c r="P51" s="16" t="n">
        <x:f>COUNTIFS('逐条表现'!$F$7:$F$196,"苏冰",'逐条表现'!$G$7:$G$196,"15m",'逐条表现'!$D$7:$D$196,"聚丙烯",'逐条表现'!$N$7:$N$196,"&gt;0",'逐条表现'!$O$7:$O$196,"=0")</x:f>
        <x:v>0</x:v>
      </x:c>
      <x:c r="Q51" s="16" t="n">
        <x:f>COUNTIFS('逐条表现'!$F$7:$F$196,"苏冰",'逐条表现'!$G$7:$G$196,"15m",'逐条表现'!$D$7:$D$196,"聚丙烯",'逐条表现'!$P$7:$P$196,"&gt;0",'逐条表现'!$Q$7:$Q$196,"&lt;0")</x:f>
        <x:v>0</x:v>
      </x:c>
      <x:c r="R51" s="16" t="n">
        <x:f>COUNTIFS('逐条表现'!$F$7:$F$196,"苏冰",'逐条表现'!$G$7:$G$196,"15m",'逐条表现'!$D$7:$D$196,"聚丙烯",'逐条表现'!$P$7:$P$196,"&gt;0",'逐条表现'!$Q$7:$Q$196,"=0")</x:f>
        <x:v>0</x:v>
      </x:c>
      <x:c r="S51" s="16" t="n">
        <x:f>COUNTIFS('逐条表现'!$F$7:$F$196,"苏冰",'逐条表现'!$G$7:$G$196,"15m",'逐条表现'!$D$7:$D$196,"聚丙烯",'逐条表现'!$R$7:$R$196,"&gt;0",'逐条表现'!$S$7:$S$196,"&lt;0")</x:f>
        <x:v>0</x:v>
      </x:c>
      <x:c r="T51" s="16" t="n">
        <x:f>COUNTIFS('逐条表现'!$F$7:$F$196,"苏冰",'逐条表现'!$G$7:$G$196,"15m",'逐条表现'!$D$7:$D$196,"聚丙烯",'逐条表现'!$R$7:$R$196,"&gt;0",'逐条表现'!$S$7:$S$196,"=0")</x:f>
        <x:v>0</x:v>
      </x:c>
      <x:c r="U51" s="5" t="str">
        <x:f>IF(E51=0,"",SUMIFS('逐条表现'!$O$7:$O$196,'逐条表现'!$F$7:$F$196,"苏冰",'逐条表现'!$G$7:$G$196,"15m",'逐条表现'!$D$7:$D$196,"聚丙烯")/E51)</x:f>
      </x:c>
      <x:c r="V51" s="5" t="str">
        <x:f>IF(H51=0,"",SUMIFS('逐条表现'!$Q$7:$Q$196,'逐条表现'!$F$7:$F$196,"苏冰",'逐条表现'!$G$7:$G$196,"15m",'逐条表现'!$D$7:$D$196,"聚丙烯")/H51)</x:f>
      </x:c>
      <x:c r="W51" s="16" t="n">
        <x:f>C51-K51-N51</x:f>
        <x:v>0</x:v>
      </x:c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</x:row>
    <x:row r="52" ht="27" customHeight="1">
      <x:c r="A52" s="2" t="str">
        <x:v>聚乙烯 L 苏冰</x:v>
      </x:c>
      <x:c r="B52" s="2" t="str">
        <x:v>15m</x:v>
      </x:c>
      <x:c r="C52" s="16" t="n">
        <x:f>COUNTIFS('逐条表现'!$F$7:$F$196,"苏冰",'逐条表现'!$G$7:$G$196,"15m",'逐条表现'!$D$7:$D$196,"聚乙烯")</x:f>
        <x:v>4</x:v>
      </x:c>
      <x:c r="D52" s="16" t="n">
        <x:f>COUNTIFS('逐条表现'!$F$7:$F$196,"苏冰",'逐条表现'!$G$7:$G$196,"15m",'逐条表现'!$D$7:$D$196,"聚乙烯",'逐条表现'!$N$7:$N$196,"&gt;0",'逐条表现'!$O$7:$O$196,"&gt;0")</x:f>
        <x:v>0</x:v>
      </x:c>
      <x:c r="E52" s="16" t="n">
        <x:f>COUNTIFS('逐条表现'!$F$7:$F$196,"苏冰",'逐条表现'!$G$7:$G$196,"15m",'逐条表现'!$D$7:$D$196,"聚乙烯",'逐条表现'!$N$7:$N$196,"&gt;0")</x:f>
        <x:v>0</x:v>
      </x:c>
      <x:c r="F52" s="17" t="str">
        <x:f>IF(E52=0,"",D52/E52)</x:f>
      </x:c>
      <x:c r="G52" s="16" t="n">
        <x:f>COUNTIFS('逐条表现'!$F$7:$F$196,"苏冰",'逐条表现'!$G$7:$G$196,"15m",'逐条表现'!$D$7:$D$196,"聚乙烯",'逐条表现'!$P$7:$P$196,"&gt;0",'逐条表现'!$Q$7:$Q$196,"&gt;0")</x:f>
        <x:v>0</x:v>
      </x:c>
      <x:c r="H52" s="16" t="n">
        <x:f>COUNTIFS('逐条表现'!$F$7:$F$196,"苏冰",'逐条表现'!$G$7:$G$196,"15m",'逐条表现'!$D$7:$D$196,"聚乙烯",'逐条表现'!$P$7:$P$196,"&gt;0")</x:f>
        <x:v>0</x:v>
      </x:c>
      <x:c r="I52" s="17" t="str">
        <x:f>IF(H52=0,"",G52/H52)</x:f>
      </x:c>
      <x:c r="J52" s="16" t="n">
        <x:f>COUNTIFS('逐条表现'!$F$7:$F$196,"苏冰",'逐条表现'!$G$7:$G$196,"15m",'逐条表现'!$D$7:$D$196,"聚乙烯",'逐条表现'!$R$7:$R$196,"&gt;0",'逐条表现'!$S$7:$S$196,"&gt;0")</x:f>
        <x:v>0</x:v>
      </x:c>
      <x:c r="K52" s="16" t="n">
        <x:f>COUNTIFS('逐条表现'!$F$7:$F$196,"苏冰",'逐条表现'!$G$7:$G$196,"15m",'逐条表现'!$D$7:$D$196,"聚乙烯",'逐条表现'!$R$7:$R$196,"&gt;0")</x:f>
        <x:v>0</x:v>
      </x:c>
      <x:c r="L52" s="17" t="str">
        <x:f>IF(K52=0,"",J52/K52)</x:f>
      </x:c>
      <x:c r="M52" s="5" t="str">
        <x:f>IF(K52=0,"",SUMIFS('逐条表现'!$S$7:$S$196,'逐条表现'!$F$7:$F$196,"苏冰",'逐条表现'!$G$7:$G$196,"15m",'逐条表现'!$D$7:$D$196,"聚乙烯")/K52)</x:f>
      </x:c>
      <x:c r="N52" s="16" t="n">
        <x:f>C52-K52-COUNTIFS('逐条表现'!$F$7:$F$196,"苏冰",'逐条表现'!$G$7:$G$196,"15m",'逐条表现'!$D$7:$D$196,"聚乙烯",'逐条表现'!$AK$7:$AK$196,"待观察")</x:f>
        <x:v>4</x:v>
      </x:c>
      <x:c r="O52" s="16" t="n">
        <x:f>COUNTIFS('逐条表现'!$F$7:$F$196,"苏冰",'逐条表现'!$G$7:$G$196,"15m",'逐条表现'!$D$7:$D$196,"聚乙烯",'逐条表现'!$N$7:$N$196,"&gt;0",'逐条表现'!$O$7:$O$196,"&lt;0")</x:f>
        <x:v>0</x:v>
      </x:c>
      <x:c r="P52" s="16" t="n">
        <x:f>COUNTIFS('逐条表现'!$F$7:$F$196,"苏冰",'逐条表现'!$G$7:$G$196,"15m",'逐条表现'!$D$7:$D$196,"聚乙烯",'逐条表现'!$N$7:$N$196,"&gt;0",'逐条表现'!$O$7:$O$196,"=0")</x:f>
        <x:v>0</x:v>
      </x:c>
      <x:c r="Q52" s="16" t="n">
        <x:f>COUNTIFS('逐条表现'!$F$7:$F$196,"苏冰",'逐条表现'!$G$7:$G$196,"15m",'逐条表现'!$D$7:$D$196,"聚乙烯",'逐条表现'!$P$7:$P$196,"&gt;0",'逐条表现'!$Q$7:$Q$196,"&lt;0")</x:f>
        <x:v>0</x:v>
      </x:c>
      <x:c r="R52" s="16" t="n">
        <x:f>COUNTIFS('逐条表现'!$F$7:$F$196,"苏冰",'逐条表现'!$G$7:$G$196,"15m",'逐条表现'!$D$7:$D$196,"聚乙烯",'逐条表现'!$P$7:$P$196,"&gt;0",'逐条表现'!$Q$7:$Q$196,"=0")</x:f>
        <x:v>0</x:v>
      </x:c>
      <x:c r="S52" s="16" t="n">
        <x:f>COUNTIFS('逐条表现'!$F$7:$F$196,"苏冰",'逐条表现'!$G$7:$G$196,"15m",'逐条表现'!$D$7:$D$196,"聚乙烯",'逐条表现'!$R$7:$R$196,"&gt;0",'逐条表现'!$S$7:$S$196,"&lt;0")</x:f>
        <x:v>0</x:v>
      </x:c>
      <x:c r="T52" s="16" t="n">
        <x:f>COUNTIFS('逐条表现'!$F$7:$F$196,"苏冰",'逐条表现'!$G$7:$G$196,"15m",'逐条表现'!$D$7:$D$196,"聚乙烯",'逐条表现'!$R$7:$R$196,"&gt;0",'逐条表现'!$S$7:$S$196,"=0")</x:f>
        <x:v>0</x:v>
      </x:c>
      <x:c r="U52" s="5" t="str">
        <x:f>IF(E52=0,"",SUMIFS('逐条表现'!$O$7:$O$196,'逐条表现'!$F$7:$F$196,"苏冰",'逐条表现'!$G$7:$G$196,"15m",'逐条表现'!$D$7:$D$196,"聚乙烯")/E52)</x:f>
      </x:c>
      <x:c r="V52" s="5" t="str">
        <x:f>IF(H52=0,"",SUMIFS('逐条表现'!$Q$7:$Q$196,'逐条表现'!$F$7:$F$196,"苏冰",'逐条表现'!$G$7:$G$196,"15m",'逐条表现'!$D$7:$D$196,"聚乙烯")/H52)</x:f>
      </x:c>
      <x:c r="W52" s="16" t="n">
        <x:f>C52-K52-N52</x:f>
        <x:v>0</x:v>
      </x:c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</x:row>
    <x:row r="53" ht="27" customHeight="1">
      <x:c r="A53" s="2" t="str">
        <x:v>花生 PK 苏冰</x:v>
      </x:c>
      <x:c r="B53" s="2" t="str">
        <x:v>15m</x:v>
      </x:c>
      <x:c r="C53" s="16" t="n">
        <x:f>COUNTIFS('逐条表现'!$F$7:$F$196,"苏冰",'逐条表现'!$G$7:$G$196,"15m",'逐条表现'!$D$7:$D$196,"花生")</x:f>
        <x:v>1</x:v>
      </x:c>
      <x:c r="D53" s="16" t="n">
        <x:f>COUNTIFS('逐条表现'!$F$7:$F$196,"苏冰",'逐条表现'!$G$7:$G$196,"15m",'逐条表现'!$D$7:$D$196,"花生",'逐条表现'!$N$7:$N$196,"&gt;0",'逐条表现'!$O$7:$O$196,"&gt;0")</x:f>
        <x:v>0</x:v>
      </x:c>
      <x:c r="E53" s="16" t="n">
        <x:f>COUNTIFS('逐条表现'!$F$7:$F$196,"苏冰",'逐条表现'!$G$7:$G$196,"15m",'逐条表现'!$D$7:$D$196,"花生",'逐条表现'!$N$7:$N$196,"&gt;0")</x:f>
        <x:v>1</x:v>
      </x:c>
      <x:c r="F53" s="17" t="n">
        <x:f>IF(E53=0,"",D53/E53)</x:f>
        <x:v>0</x:v>
      </x:c>
      <x:c r="G53" s="16" t="n">
        <x:f>COUNTIFS('逐条表现'!$F$7:$F$196,"苏冰",'逐条表现'!$G$7:$G$196,"15m",'逐条表现'!$D$7:$D$196,"花生",'逐条表现'!$P$7:$P$196,"&gt;0",'逐条表现'!$Q$7:$Q$196,"&gt;0")</x:f>
        <x:v>0</x:v>
      </x:c>
      <x:c r="H53" s="16" t="n">
        <x:f>COUNTIFS('逐条表现'!$F$7:$F$196,"苏冰",'逐条表现'!$G$7:$G$196,"15m",'逐条表现'!$D$7:$D$196,"花生",'逐条表现'!$P$7:$P$196,"&gt;0")</x:f>
        <x:v>1</x:v>
      </x:c>
      <x:c r="I53" s="17" t="n">
        <x:f>IF(H53=0,"",G53/H53)</x:f>
        <x:v>0</x:v>
      </x:c>
      <x:c r="J53" s="16" t="n">
        <x:f>COUNTIFS('逐条表现'!$F$7:$F$196,"苏冰",'逐条表现'!$G$7:$G$196,"15m",'逐条表现'!$D$7:$D$196,"花生",'逐条表现'!$R$7:$R$196,"&gt;0",'逐条表现'!$S$7:$S$196,"&gt;0")</x:f>
        <x:v>0</x:v>
      </x:c>
      <x:c r="K53" s="16" t="n">
        <x:f>COUNTIFS('逐条表现'!$F$7:$F$196,"苏冰",'逐条表现'!$G$7:$G$196,"15m",'逐条表现'!$D$7:$D$196,"花生",'逐条表现'!$R$7:$R$196,"&gt;0")</x:f>
        <x:v>1</x:v>
      </x:c>
      <x:c r="L53" s="17" t="n">
        <x:f>IF(K53=0,"",J53/K53)</x:f>
        <x:v>0</x:v>
      </x:c>
      <x:c r="M53" s="5" t="n">
        <x:f>IF(K53=0,"",SUMIFS('逐条表现'!$S$7:$S$196,'逐条表现'!$F$7:$F$196,"苏冰",'逐条表现'!$G$7:$G$196,"15m",'逐条表现'!$D$7:$D$196,"花生")/K53)</x:f>
        <x:v>-0.0004973887092762919</x:v>
      </x:c>
      <x:c r="N53" s="16" t="n">
        <x:f>C53-K53-COUNTIFS('逐条表现'!$F$7:$F$196,"苏冰",'逐条表现'!$G$7:$G$196,"15m",'逐条表现'!$D$7:$D$196,"花生",'逐条表现'!$AK$7:$AK$196,"待观察")</x:f>
        <x:v>0</x:v>
      </x:c>
      <x:c r="O53" s="16" t="n">
        <x:f>COUNTIFS('逐条表现'!$F$7:$F$196,"苏冰",'逐条表现'!$G$7:$G$196,"15m",'逐条表现'!$D$7:$D$196,"花生",'逐条表现'!$N$7:$N$196,"&gt;0",'逐条表现'!$O$7:$O$196,"&lt;0")</x:f>
        <x:v>1</x:v>
      </x:c>
      <x:c r="P53" s="16" t="n">
        <x:f>COUNTIFS('逐条表现'!$F$7:$F$196,"苏冰",'逐条表现'!$G$7:$G$196,"15m",'逐条表现'!$D$7:$D$196,"花生",'逐条表现'!$N$7:$N$196,"&gt;0",'逐条表现'!$O$7:$O$196,"=0")</x:f>
        <x:v>0</x:v>
      </x:c>
      <x:c r="Q53" s="16" t="n">
        <x:f>COUNTIFS('逐条表现'!$F$7:$F$196,"苏冰",'逐条表现'!$G$7:$G$196,"15m",'逐条表现'!$D$7:$D$196,"花生",'逐条表现'!$P$7:$P$196,"&gt;0",'逐条表现'!$Q$7:$Q$196,"&lt;0")</x:f>
        <x:v>1</x:v>
      </x:c>
      <x:c r="R53" s="16" t="n">
        <x:f>COUNTIFS('逐条表现'!$F$7:$F$196,"苏冰",'逐条表现'!$G$7:$G$196,"15m",'逐条表现'!$D$7:$D$196,"花生",'逐条表现'!$P$7:$P$196,"&gt;0",'逐条表现'!$Q$7:$Q$196,"=0")</x:f>
        <x:v>0</x:v>
      </x:c>
      <x:c r="S53" s="16" t="n">
        <x:f>COUNTIFS('逐条表现'!$F$7:$F$196,"苏冰",'逐条表现'!$G$7:$G$196,"15m",'逐条表现'!$D$7:$D$196,"花生",'逐条表现'!$R$7:$R$196,"&gt;0",'逐条表现'!$S$7:$S$196,"&lt;0")</x:f>
        <x:v>1</x:v>
      </x:c>
      <x:c r="T53" s="16" t="n">
        <x:f>COUNTIFS('逐条表现'!$F$7:$F$196,"苏冰",'逐条表现'!$G$7:$G$196,"15m",'逐条表现'!$D$7:$D$196,"花生",'逐条表现'!$R$7:$R$196,"&gt;0",'逐条表现'!$S$7:$S$196,"=0")</x:f>
        <x:v>0</x:v>
      </x:c>
      <x:c r="U53" s="5" t="n">
        <x:f>IF(E53=0,"",SUMIFS('逐条表现'!$O$7:$O$196,'逐条表现'!$F$7:$F$196,"苏冰",'逐条表现'!$G$7:$G$196,"15m",'逐条表现'!$D$7:$D$196,"花生")/E53)</x:f>
        <x:v>-0.0004973887092762919</x:v>
      </x:c>
      <x:c r="V53" s="5" t="n">
        <x:f>IF(H53=0,"",SUMIFS('逐条表现'!$Q$7:$Q$196,'逐条表现'!$F$7:$F$196,"苏冰",'逐条表现'!$G$7:$G$196,"15m",'逐条表现'!$D$7:$D$196,"花生")/H53)</x:f>
        <x:v>-0.00024869435463814593</x:v>
      </x:c>
      <x:c r="W53" s="16" t="n">
        <x:f>C53-K53-N53</x:f>
        <x:v>0</x:v>
      </x:c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</x:row>
    <x:row r="54" ht="27" customHeight="1">
      <x:c r="A54" s="2" t="str">
        <x:v>苯乙烯 EB 苏冰</x:v>
      </x:c>
      <x:c r="B54" s="2" t="str">
        <x:v>15m</x:v>
      </x:c>
      <x:c r="C54" s="16" t="n">
        <x:f>COUNTIFS('逐条表现'!$F$7:$F$196,"苏冰",'逐条表现'!$G$7:$G$196,"15m",'逐条表现'!$D$7:$D$196,"苯乙烯")</x:f>
        <x:v>3</x:v>
      </x:c>
      <x:c r="D54" s="16" t="n">
        <x:f>COUNTIFS('逐条表现'!$F$7:$F$196,"苏冰",'逐条表现'!$G$7:$G$196,"15m",'逐条表现'!$D$7:$D$196,"苯乙烯",'逐条表现'!$N$7:$N$196,"&gt;0",'逐条表现'!$O$7:$O$196,"&gt;0")</x:f>
        <x:v>1</x:v>
      </x:c>
      <x:c r="E54" s="16" t="n">
        <x:f>COUNTIFS('逐条表现'!$F$7:$F$196,"苏冰",'逐条表现'!$G$7:$G$196,"15m",'逐条表现'!$D$7:$D$196,"苯乙烯",'逐条表现'!$N$7:$N$196,"&gt;0")</x:f>
        <x:v>1</x:v>
      </x:c>
      <x:c r="F54" s="17" t="n">
        <x:f>IF(E54=0,"",D54/E54)</x:f>
        <x:v>1</x:v>
      </x:c>
      <x:c r="G54" s="16" t="n">
        <x:f>COUNTIFS('逐条表现'!$F$7:$F$196,"苏冰",'逐条表现'!$G$7:$G$196,"15m",'逐条表现'!$D$7:$D$196,"苯乙烯",'逐条表现'!$P$7:$P$196,"&gt;0",'逐条表现'!$Q$7:$Q$196,"&gt;0")</x:f>
        <x:v>1</x:v>
      </x:c>
      <x:c r="H54" s="16" t="n">
        <x:f>COUNTIFS('逐条表现'!$F$7:$F$196,"苏冰",'逐条表现'!$G$7:$G$196,"15m",'逐条表现'!$D$7:$D$196,"苯乙烯",'逐条表现'!$P$7:$P$196,"&gt;0")</x:f>
        <x:v>1</x:v>
      </x:c>
      <x:c r="I54" s="17" t="n">
        <x:f>IF(H54=0,"",G54/H54)</x:f>
        <x:v>1</x:v>
      </x:c>
      <x:c r="J54" s="16" t="n">
        <x:f>COUNTIFS('逐条表现'!$F$7:$F$196,"苏冰",'逐条表现'!$G$7:$G$196,"15m",'逐条表现'!$D$7:$D$196,"苯乙烯",'逐条表现'!$R$7:$R$196,"&gt;0",'逐条表现'!$S$7:$S$196,"&gt;0")</x:f>
        <x:v>1</x:v>
      </x:c>
      <x:c r="K54" s="16" t="n">
        <x:f>COUNTIFS('逐条表现'!$F$7:$F$196,"苏冰",'逐条表现'!$G$7:$G$196,"15m",'逐条表现'!$D$7:$D$196,"苯乙烯",'逐条表现'!$R$7:$R$196,"&gt;0")</x:f>
        <x:v>1</x:v>
      </x:c>
      <x:c r="L54" s="17" t="n">
        <x:f>IF(K54=0,"",J54/K54)</x:f>
        <x:v>1</x:v>
      </x:c>
      <x:c r="M54" s="5" t="n">
        <x:f>IF(K54=0,"",SUMIFS('逐条表现'!$S$7:$S$196,'逐条表现'!$F$7:$F$196,"苏冰",'逐条表现'!$G$7:$G$196,"15m",'逐条表现'!$D$7:$D$196,"苯乙烯")/K54)</x:f>
        <x:v>0.012341869793273785</x:v>
      </x:c>
      <x:c r="N54" s="16" t="n">
        <x:f>C54-K54-COUNTIFS('逐条表现'!$F$7:$F$196,"苏冰",'逐条表现'!$G$7:$G$196,"15m",'逐条表现'!$D$7:$D$196,"苯乙烯",'逐条表现'!$AK$7:$AK$196,"待观察")</x:f>
        <x:v>2</x:v>
      </x:c>
      <x:c r="O54" s="16" t="n">
        <x:f>COUNTIFS('逐条表现'!$F$7:$F$196,"苏冰",'逐条表现'!$G$7:$G$196,"15m",'逐条表现'!$D$7:$D$196,"苯乙烯",'逐条表现'!$N$7:$N$196,"&gt;0",'逐条表现'!$O$7:$O$196,"&lt;0")</x:f>
        <x:v>0</x:v>
      </x:c>
      <x:c r="P54" s="16" t="n">
        <x:f>COUNTIFS('逐条表现'!$F$7:$F$196,"苏冰",'逐条表现'!$G$7:$G$196,"15m",'逐条表现'!$D$7:$D$196,"苯乙烯",'逐条表现'!$N$7:$N$196,"&gt;0",'逐条表现'!$O$7:$O$196,"=0")</x:f>
        <x:v>0</x:v>
      </x:c>
      <x:c r="Q54" s="16" t="n">
        <x:f>COUNTIFS('逐条表现'!$F$7:$F$196,"苏冰",'逐条表现'!$G$7:$G$196,"15m",'逐条表现'!$D$7:$D$196,"苯乙烯",'逐条表现'!$P$7:$P$196,"&gt;0",'逐条表现'!$Q$7:$Q$196,"&lt;0")</x:f>
        <x:v>0</x:v>
      </x:c>
      <x:c r="R54" s="16" t="n">
        <x:f>COUNTIFS('逐条表现'!$F$7:$F$196,"苏冰",'逐条表现'!$G$7:$G$196,"15m",'逐条表现'!$D$7:$D$196,"苯乙烯",'逐条表现'!$P$7:$P$196,"&gt;0",'逐条表现'!$Q$7:$Q$196,"=0")</x:f>
        <x:v>0</x:v>
      </x:c>
      <x:c r="S54" s="16" t="n">
        <x:f>COUNTIFS('逐条表现'!$F$7:$F$196,"苏冰",'逐条表现'!$G$7:$G$196,"15m",'逐条表现'!$D$7:$D$196,"苯乙烯",'逐条表现'!$R$7:$R$196,"&gt;0",'逐条表现'!$S$7:$S$196,"&lt;0")</x:f>
        <x:v>0</x:v>
      </x:c>
      <x:c r="T54" s="16" t="n">
        <x:f>COUNTIFS('逐条表现'!$F$7:$F$196,"苏冰",'逐条表现'!$G$7:$G$196,"15m",'逐条表现'!$D$7:$D$196,"苯乙烯",'逐条表现'!$R$7:$R$196,"&gt;0",'逐条表现'!$S$7:$S$196,"=0")</x:f>
        <x:v>0</x:v>
      </x:c>
      <x:c r="U54" s="5" t="n">
        <x:f>IF(E54=0,"",SUMIFS('逐条表现'!$O$7:$O$196,'逐条表现'!$F$7:$F$196,"苏冰",'逐条表现'!$G$7:$G$196,"15m",'逐条表现'!$D$7:$D$196,"苯乙烯")/E54)</x:f>
        <x:v>0.0017484315540470252</x:v>
      </x:c>
      <x:c r="V54" s="5" t="n">
        <x:f>IF(H54=0,"",SUMIFS('逐条表现'!$Q$7:$Q$196,'逐条表现'!$F$7:$F$196,"苏冰",'逐条表现'!$G$7:$G$196,"15m",'逐条表现'!$D$7:$D$196,"苯乙烯")/H54)</x:f>
        <x:v>0.009359251259899226</x:v>
      </x:c>
      <x:c r="W54" s="16" t="n">
        <x:f>C54-K54-N54</x:f>
        <x:v>0</x:v>
      </x:c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</x:row>
    <x:row r="55" ht="27" customHeight="1">
      <x:c r="A55" s="2" t="str">
        <x:v>苹果 AP 苏冰</x:v>
      </x:c>
      <x:c r="B55" s="2" t="str">
        <x:v>15m</x:v>
      </x:c>
      <x:c r="C55" s="16" t="n">
        <x:f>COUNTIFS('逐条表现'!$F$7:$F$196,"苏冰",'逐条表现'!$G$7:$G$196,"15m",'逐条表现'!$D$7:$D$196,"苹果")</x:f>
        <x:v>1</x:v>
      </x:c>
      <x:c r="D55" s="16" t="n">
        <x:f>COUNTIFS('逐条表现'!$F$7:$F$196,"苏冰",'逐条表现'!$G$7:$G$196,"15m",'逐条表现'!$D$7:$D$196,"苹果",'逐条表现'!$N$7:$N$196,"&gt;0",'逐条表现'!$O$7:$O$196,"&gt;0")</x:f>
        <x:v>0</x:v>
      </x:c>
      <x:c r="E55" s="16" t="n">
        <x:f>COUNTIFS('逐条表现'!$F$7:$F$196,"苏冰",'逐条表现'!$G$7:$G$196,"15m",'逐条表现'!$D$7:$D$196,"苹果",'逐条表现'!$N$7:$N$196,"&gt;0")</x:f>
        <x:v>1</x:v>
      </x:c>
      <x:c r="F55" s="17" t="n">
        <x:f>IF(E55=0,"",D55/E55)</x:f>
        <x:v>0</x:v>
      </x:c>
      <x:c r="G55" s="16" t="n">
        <x:f>COUNTIFS('逐条表现'!$F$7:$F$196,"苏冰",'逐条表现'!$G$7:$G$196,"15m",'逐条表现'!$D$7:$D$196,"苹果",'逐条表现'!$P$7:$P$196,"&gt;0",'逐条表现'!$Q$7:$Q$196,"&gt;0")</x:f>
        <x:v>0</x:v>
      </x:c>
      <x:c r="H55" s="16" t="n">
        <x:f>COUNTIFS('逐条表现'!$F$7:$F$196,"苏冰",'逐条表现'!$G$7:$G$196,"15m",'逐条表现'!$D$7:$D$196,"苹果",'逐条表现'!$P$7:$P$196,"&gt;0")</x:f>
        <x:v>1</x:v>
      </x:c>
      <x:c r="I55" s="17" t="n">
        <x:f>IF(H55=0,"",G55/H55)</x:f>
        <x:v>0</x:v>
      </x:c>
      <x:c r="J55" s="16" t="n">
        <x:f>COUNTIFS('逐条表现'!$F$7:$F$196,"苏冰",'逐条表现'!$G$7:$G$196,"15m",'逐条表现'!$D$7:$D$196,"苹果",'逐条表现'!$R$7:$R$196,"&gt;0",'逐条表现'!$S$7:$S$196,"&gt;0")</x:f>
        <x:v>0</x:v>
      </x:c>
      <x:c r="K55" s="16" t="n">
        <x:f>COUNTIFS('逐条表现'!$F$7:$F$196,"苏冰",'逐条表现'!$G$7:$G$196,"15m",'逐条表现'!$D$7:$D$196,"苹果",'逐条表现'!$R$7:$R$196,"&gt;0")</x:f>
        <x:v>1</x:v>
      </x:c>
      <x:c r="L55" s="17" t="n">
        <x:f>IF(K55=0,"",J55/K55)</x:f>
        <x:v>0</x:v>
      </x:c>
      <x:c r="M55" s="5" t="n">
        <x:f>IF(K55=0,"",SUMIFS('逐条表现'!$S$7:$S$196,'逐条表现'!$F$7:$F$196,"苏冰",'逐条表现'!$G$7:$G$196,"15m",'逐条表现'!$D$7:$D$196,"苹果")/K55)</x:f>
        <x:v>-0.0006687174000267193</x:v>
      </x:c>
      <x:c r="N55" s="16" t="n">
        <x:f>C55-K55-COUNTIFS('逐条表现'!$F$7:$F$196,"苏冰",'逐条表现'!$G$7:$G$196,"15m",'逐条表现'!$D$7:$D$196,"苹果",'逐条表现'!$AK$7:$AK$196,"待观察")</x:f>
        <x:v>0</x:v>
      </x:c>
      <x:c r="O55" s="16" t="n">
        <x:f>COUNTIFS('逐条表现'!$F$7:$F$196,"苏冰",'逐条表现'!$G$7:$G$196,"15m",'逐条表现'!$D$7:$D$196,"苹果",'逐条表现'!$N$7:$N$196,"&gt;0",'逐条表现'!$O$7:$O$196,"&lt;0")</x:f>
        <x:v>1</x:v>
      </x:c>
      <x:c r="P55" s="16" t="n">
        <x:f>COUNTIFS('逐条表现'!$F$7:$F$196,"苏冰",'逐条表现'!$G$7:$G$196,"15m",'逐条表现'!$D$7:$D$196,"苹果",'逐条表现'!$N$7:$N$196,"&gt;0",'逐条表现'!$O$7:$O$196,"=0")</x:f>
        <x:v>0</x:v>
      </x:c>
      <x:c r="Q55" s="16" t="n">
        <x:f>COUNTIFS('逐条表现'!$F$7:$F$196,"苏冰",'逐条表现'!$G$7:$G$196,"15m",'逐条表现'!$D$7:$D$196,"苹果",'逐条表现'!$P$7:$P$196,"&gt;0",'逐条表现'!$Q$7:$Q$196,"&lt;0")</x:f>
        <x:v>1</x:v>
      </x:c>
      <x:c r="R55" s="16" t="n">
        <x:f>COUNTIFS('逐条表现'!$F$7:$F$196,"苏冰",'逐条表现'!$G$7:$G$196,"15m",'逐条表现'!$D$7:$D$196,"苹果",'逐条表现'!$P$7:$P$196,"&gt;0",'逐条表现'!$Q$7:$Q$196,"=0")</x:f>
        <x:v>0</x:v>
      </x:c>
      <x:c r="S55" s="16" t="n">
        <x:f>COUNTIFS('逐条表现'!$F$7:$F$196,"苏冰",'逐条表现'!$G$7:$G$196,"15m",'逐条表现'!$D$7:$D$196,"苹果",'逐条表现'!$R$7:$R$196,"&gt;0",'逐条表现'!$S$7:$S$196,"&lt;0")</x:f>
        <x:v>1</x:v>
      </x:c>
      <x:c r="T55" s="16" t="n">
        <x:f>COUNTIFS('逐条表现'!$F$7:$F$196,"苏冰",'逐条表现'!$G$7:$G$196,"15m",'逐条表现'!$D$7:$D$196,"苹果",'逐条表现'!$R$7:$R$196,"&gt;0",'逐条表现'!$S$7:$S$196,"=0")</x:f>
        <x:v>0</x:v>
      </x:c>
      <x:c r="U55" s="5" t="n">
        <x:f>IF(E55=0,"",SUMIFS('逐条表现'!$O$7:$O$196,'逐条表现'!$F$7:$F$196,"苏冰",'逐条表现'!$G$7:$G$196,"15m",'逐条表现'!$D$7:$D$196,"苹果")/E55)</x:f>
        <x:v>-0.00013374348000538827</x:v>
      </x:c>
      <x:c r="V55" s="5" t="n">
        <x:f>IF(H55=0,"",SUMIFS('逐条表现'!$Q$7:$Q$196,'逐条表现'!$F$7:$F$196,"苏冰",'逐条表现'!$G$7:$G$196,"15m",'逐条表现'!$D$7:$D$196,"苹果")/H55)</x:f>
        <x:v>-0.001069947840042773</x:v>
      </x:c>
      <x:c r="W55" s="16" t="n">
        <x:f>C55-K55-N55</x:f>
        <x:v>0</x:v>
      </x:c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</x:row>
    <x:row r="56" ht="27" customHeight="1">
      <x:c r="A56" s="2" t="str">
        <x:v>菜粕 RM 苏冰</x:v>
      </x:c>
      <x:c r="B56" s="2" t="str">
        <x:v>15m</x:v>
      </x:c>
      <x:c r="C56" s="16" t="n">
        <x:f>COUNTIFS('逐条表现'!$F$7:$F$196,"苏冰",'逐条表现'!$G$7:$G$196,"15m",'逐条表现'!$D$7:$D$196,"菜粕")</x:f>
        <x:v>5</x:v>
      </x:c>
      <x:c r="D56" s="16" t="n">
        <x:f>COUNTIFS('逐条表现'!$F$7:$F$196,"苏冰",'逐条表现'!$G$7:$G$196,"15m",'逐条表现'!$D$7:$D$196,"菜粕",'逐条表现'!$N$7:$N$196,"&gt;0",'逐条表现'!$O$7:$O$196,"&gt;0")</x:f>
        <x:v>1</x:v>
      </x:c>
      <x:c r="E56" s="16" t="n">
        <x:f>COUNTIFS('逐条表现'!$F$7:$F$196,"苏冰",'逐条表现'!$G$7:$G$196,"15m",'逐条表现'!$D$7:$D$196,"菜粕",'逐条表现'!$N$7:$N$196,"&gt;0")</x:f>
        <x:v>2</x:v>
      </x:c>
      <x:c r="F56" s="17" t="n">
        <x:f>IF(E56=0,"",D56/E56)</x:f>
        <x:v>0.5</x:v>
      </x:c>
      <x:c r="G56" s="16" t="n">
        <x:f>COUNTIFS('逐条表现'!$F$7:$F$196,"苏冰",'逐条表现'!$G$7:$G$196,"15m",'逐条表现'!$D$7:$D$196,"菜粕",'逐条表现'!$P$7:$P$196,"&gt;0",'逐条表现'!$Q$7:$Q$196,"&gt;0")</x:f>
        <x:v>1</x:v>
      </x:c>
      <x:c r="H56" s="16" t="n">
        <x:f>COUNTIFS('逐条表现'!$F$7:$F$196,"苏冰",'逐条表现'!$G$7:$G$196,"15m",'逐条表现'!$D$7:$D$196,"菜粕",'逐条表现'!$P$7:$P$196,"&gt;0")</x:f>
        <x:v>2</x:v>
      </x:c>
      <x:c r="I56" s="17" t="n">
        <x:f>IF(H56=0,"",G56/H56)</x:f>
        <x:v>0.5</x:v>
      </x:c>
      <x:c r="J56" s="16" t="n">
        <x:f>COUNTIFS('逐条表现'!$F$7:$F$196,"苏冰",'逐条表现'!$G$7:$G$196,"15m",'逐条表现'!$D$7:$D$196,"菜粕",'逐条表现'!$R$7:$R$196,"&gt;0",'逐条表现'!$S$7:$S$196,"&gt;0")</x:f>
        <x:v>1</x:v>
      </x:c>
      <x:c r="K56" s="16" t="n">
        <x:f>COUNTIFS('逐条表现'!$F$7:$F$196,"苏冰",'逐条表现'!$G$7:$G$196,"15m",'逐条表现'!$D$7:$D$196,"菜粕",'逐条表现'!$R$7:$R$196,"&gt;0")</x:f>
        <x:v>2</x:v>
      </x:c>
      <x:c r="L56" s="17" t="n">
        <x:f>IF(K56=0,"",J56/K56)</x:f>
        <x:v>0.5</x:v>
      </x:c>
      <x:c r="M56" s="5" t="n">
        <x:f>IF(K56=0,"",SUMIFS('逐条表现'!$S$7:$S$196,'逐条表现'!$F$7:$F$196,"苏冰",'逐条表现'!$G$7:$G$196,"15m",'逐条表现'!$D$7:$D$196,"菜粕")/K56)</x:f>
        <x:v>0.001267412521805289</x:v>
      </x:c>
      <x:c r="N56" s="16" t="n">
        <x:f>C56-K56-COUNTIFS('逐条表现'!$F$7:$F$196,"苏冰",'逐条表现'!$G$7:$G$196,"15m",'逐条表现'!$D$7:$D$196,"菜粕",'逐条表现'!$AK$7:$AK$196,"待观察")</x:f>
        <x:v>3</x:v>
      </x:c>
      <x:c r="O56" s="16" t="n">
        <x:f>COUNTIFS('逐条表现'!$F$7:$F$196,"苏冰",'逐条表现'!$G$7:$G$196,"15m",'逐条表现'!$D$7:$D$196,"菜粕",'逐条表现'!$N$7:$N$196,"&gt;0",'逐条表现'!$O$7:$O$196,"&lt;0")</x:f>
        <x:v>0</x:v>
      </x:c>
      <x:c r="P56" s="16" t="n">
        <x:f>COUNTIFS('逐条表现'!$F$7:$F$196,"苏冰",'逐条表现'!$G$7:$G$196,"15m",'逐条表现'!$D$7:$D$196,"菜粕",'逐条表现'!$N$7:$N$196,"&gt;0",'逐条表现'!$O$7:$O$196,"=0")</x:f>
        <x:v>1</x:v>
      </x:c>
      <x:c r="Q56" s="16" t="n">
        <x:f>COUNTIFS('逐条表现'!$F$7:$F$196,"苏冰",'逐条表现'!$G$7:$G$196,"15m",'逐条表现'!$D$7:$D$196,"菜粕",'逐条表现'!$P$7:$P$196,"&gt;0",'逐条表现'!$Q$7:$Q$196,"&lt;0")</x:f>
        <x:v>1</x:v>
      </x:c>
      <x:c r="R56" s="16" t="n">
        <x:f>COUNTIFS('逐条表现'!$F$7:$F$196,"苏冰",'逐条表现'!$G$7:$G$196,"15m",'逐条表现'!$D$7:$D$196,"菜粕",'逐条表现'!$P$7:$P$196,"&gt;0",'逐条表现'!$Q$7:$Q$196,"=0")</x:f>
        <x:v>0</x:v>
      </x:c>
      <x:c r="S56" s="16" t="n">
        <x:f>COUNTIFS('逐条表现'!$F$7:$F$196,"苏冰",'逐条表现'!$G$7:$G$196,"15m",'逐条表现'!$D$7:$D$196,"菜粕",'逐条表现'!$R$7:$R$196,"&gt;0",'逐条表现'!$S$7:$S$196,"&lt;0")</x:f>
        <x:v>1</x:v>
      </x:c>
      <x:c r="T56" s="16" t="n">
        <x:f>COUNTIFS('逐条表现'!$F$7:$F$196,"苏冰",'逐条表现'!$G$7:$G$196,"15m",'逐条表现'!$D$7:$D$196,"菜粕",'逐条表现'!$R$7:$R$196,"&gt;0",'逐条表现'!$S$7:$S$196,"=0")</x:f>
        <x:v>0</x:v>
      </x:c>
      <x:c r="U56" s="5" t="n">
        <x:f>IF(E56=0,"",SUMIFS('逐条表现'!$O$7:$O$196,'逐条表现'!$F$7:$F$196,"苏冰",'逐条表现'!$G$7:$G$196,"15m",'逐条表现'!$D$7:$D$196,"菜粕")/E56)</x:f>
        <x:v>0.0029623360135421217</x:v>
      </x:c>
      <x:c r="V56" s="5" t="n">
        <x:f>IF(H56=0,"",SUMIFS('逐条表现'!$Q$7:$Q$196,'逐条表现'!$F$7:$F$196,"苏冰",'逐条表现'!$G$7:$G$196,"15m",'逐条表现'!$D$7:$D$196,"菜粕")/H56)</x:f>
        <x:v>0.0016906033808827825</x:v>
      </x:c>
      <x:c r="W56" s="16" t="n">
        <x:f>C56-K56-N56</x:f>
        <x:v>0</x:v>
      </x:c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</x:row>
    <x:row r="57" ht="27" customHeight="1">
      <x:c r="A57" s="2" t="str">
        <x:v>螺纹钢 RB 苏冰</x:v>
      </x:c>
      <x:c r="B57" s="2" t="str">
        <x:v>15m</x:v>
      </x:c>
      <x:c r="C57" s="16" t="n">
        <x:f>COUNTIFS('逐条表现'!$F$7:$F$196,"苏冰",'逐条表现'!$G$7:$G$196,"15m",'逐条表现'!$D$7:$D$196,"螺纹钢")</x:f>
        <x:v>3</x:v>
      </x:c>
      <x:c r="D57" s="16" t="n">
        <x:f>COUNTIFS('逐条表现'!$F$7:$F$196,"苏冰",'逐条表现'!$G$7:$G$196,"15m",'逐条表现'!$D$7:$D$196,"螺纹钢",'逐条表现'!$N$7:$N$196,"&gt;0",'逐条表现'!$O$7:$O$196,"&gt;0")</x:f>
        <x:v>0</x:v>
      </x:c>
      <x:c r="E57" s="16" t="n">
        <x:f>COUNTIFS('逐条表现'!$F$7:$F$196,"苏冰",'逐条表现'!$G$7:$G$196,"15m",'逐条表现'!$D$7:$D$196,"螺纹钢",'逐条表现'!$N$7:$N$196,"&gt;0")</x:f>
        <x:v>0</x:v>
      </x:c>
      <x:c r="F57" s="17" t="str">
        <x:f>IF(E57=0,"",D57/E57)</x:f>
      </x:c>
      <x:c r="G57" s="16" t="n">
        <x:f>COUNTIFS('逐条表现'!$F$7:$F$196,"苏冰",'逐条表现'!$G$7:$G$196,"15m",'逐条表现'!$D$7:$D$196,"螺纹钢",'逐条表现'!$P$7:$P$196,"&gt;0",'逐条表现'!$Q$7:$Q$196,"&gt;0")</x:f>
        <x:v>0</x:v>
      </x:c>
      <x:c r="H57" s="16" t="n">
        <x:f>COUNTIFS('逐条表现'!$F$7:$F$196,"苏冰",'逐条表现'!$G$7:$G$196,"15m",'逐条表现'!$D$7:$D$196,"螺纹钢",'逐条表现'!$P$7:$P$196,"&gt;0")</x:f>
        <x:v>0</x:v>
      </x:c>
      <x:c r="I57" s="17" t="str">
        <x:f>IF(H57=0,"",G57/H57)</x:f>
      </x:c>
      <x:c r="J57" s="16" t="n">
        <x:f>COUNTIFS('逐条表现'!$F$7:$F$196,"苏冰",'逐条表现'!$G$7:$G$196,"15m",'逐条表现'!$D$7:$D$196,"螺纹钢",'逐条表现'!$R$7:$R$196,"&gt;0",'逐条表现'!$S$7:$S$196,"&gt;0")</x:f>
        <x:v>0</x:v>
      </x:c>
      <x:c r="K57" s="16" t="n">
        <x:f>COUNTIFS('逐条表现'!$F$7:$F$196,"苏冰",'逐条表现'!$G$7:$G$196,"15m",'逐条表现'!$D$7:$D$196,"螺纹钢",'逐条表现'!$R$7:$R$196,"&gt;0")</x:f>
        <x:v>0</x:v>
      </x:c>
      <x:c r="L57" s="17" t="str">
        <x:f>IF(K57=0,"",J57/K57)</x:f>
      </x:c>
      <x:c r="M57" s="5" t="str">
        <x:f>IF(K57=0,"",SUMIFS('逐条表现'!$S$7:$S$196,'逐条表现'!$F$7:$F$196,"苏冰",'逐条表现'!$G$7:$G$196,"15m",'逐条表现'!$D$7:$D$196,"螺纹钢")/K57)</x:f>
      </x:c>
      <x:c r="N57" s="16" t="n">
        <x:f>C57-K57-COUNTIFS('逐条表现'!$F$7:$F$196,"苏冰",'逐条表现'!$G$7:$G$196,"15m",'逐条表现'!$D$7:$D$196,"螺纹钢",'逐条表现'!$AK$7:$AK$196,"待观察")</x:f>
        <x:v>3</x:v>
      </x:c>
      <x:c r="O57" s="16" t="n">
        <x:f>COUNTIFS('逐条表现'!$F$7:$F$196,"苏冰",'逐条表现'!$G$7:$G$196,"15m",'逐条表现'!$D$7:$D$196,"螺纹钢",'逐条表现'!$N$7:$N$196,"&gt;0",'逐条表现'!$O$7:$O$196,"&lt;0")</x:f>
        <x:v>0</x:v>
      </x:c>
      <x:c r="P57" s="16" t="n">
        <x:f>COUNTIFS('逐条表现'!$F$7:$F$196,"苏冰",'逐条表现'!$G$7:$G$196,"15m",'逐条表现'!$D$7:$D$196,"螺纹钢",'逐条表现'!$N$7:$N$196,"&gt;0",'逐条表现'!$O$7:$O$196,"=0")</x:f>
        <x:v>0</x:v>
      </x:c>
      <x:c r="Q57" s="16" t="n">
        <x:f>COUNTIFS('逐条表现'!$F$7:$F$196,"苏冰",'逐条表现'!$G$7:$G$196,"15m",'逐条表现'!$D$7:$D$196,"螺纹钢",'逐条表现'!$P$7:$P$196,"&gt;0",'逐条表现'!$Q$7:$Q$196,"&lt;0")</x:f>
        <x:v>0</x:v>
      </x:c>
      <x:c r="R57" s="16" t="n">
        <x:f>COUNTIFS('逐条表现'!$F$7:$F$196,"苏冰",'逐条表现'!$G$7:$G$196,"15m",'逐条表现'!$D$7:$D$196,"螺纹钢",'逐条表现'!$P$7:$P$196,"&gt;0",'逐条表现'!$Q$7:$Q$196,"=0")</x:f>
        <x:v>0</x:v>
      </x:c>
      <x:c r="S57" s="16" t="n">
        <x:f>COUNTIFS('逐条表现'!$F$7:$F$196,"苏冰",'逐条表现'!$G$7:$G$196,"15m",'逐条表现'!$D$7:$D$196,"螺纹钢",'逐条表现'!$R$7:$R$196,"&gt;0",'逐条表现'!$S$7:$S$196,"&lt;0")</x:f>
        <x:v>0</x:v>
      </x:c>
      <x:c r="T57" s="16" t="n">
        <x:f>COUNTIFS('逐条表现'!$F$7:$F$196,"苏冰",'逐条表现'!$G$7:$G$196,"15m",'逐条表现'!$D$7:$D$196,"螺纹钢",'逐条表现'!$R$7:$R$196,"&gt;0",'逐条表现'!$S$7:$S$196,"=0")</x:f>
        <x:v>0</x:v>
      </x:c>
      <x:c r="U57" s="5" t="str">
        <x:f>IF(E57=0,"",SUMIFS('逐条表现'!$O$7:$O$196,'逐条表现'!$F$7:$F$196,"苏冰",'逐条表现'!$G$7:$G$196,"15m",'逐条表现'!$D$7:$D$196,"螺纹钢")/E57)</x:f>
      </x:c>
      <x:c r="V57" s="5" t="str">
        <x:f>IF(H57=0,"",SUMIFS('逐条表现'!$Q$7:$Q$196,'逐条表现'!$F$7:$F$196,"苏冰",'逐条表现'!$G$7:$G$196,"15m",'逐条表现'!$D$7:$D$196,"螺纹钢")/H57)</x:f>
      </x:c>
      <x:c r="W57" s="16" t="n">
        <x:f>C57-K57-N57</x:f>
        <x:v>0</x:v>
      </x:c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</x:row>
    <x:row r="58" ht="27" customHeight="1">
      <x:c r="A58" s="2" t="str">
        <x:v>豆一 A 苏冰</x:v>
      </x:c>
      <x:c r="B58" s="2" t="str">
        <x:v>15m</x:v>
      </x:c>
      <x:c r="C58" s="16" t="n">
        <x:f>COUNTIFS('逐条表现'!$F$7:$F$196,"苏冰",'逐条表现'!$G$7:$G$196,"15m",'逐条表现'!$D$7:$D$196,"豆一")</x:f>
        <x:v>2</x:v>
      </x:c>
      <x:c r="D58" s="16" t="n">
        <x:f>COUNTIFS('逐条表现'!$F$7:$F$196,"苏冰",'逐条表现'!$G$7:$G$196,"15m",'逐条表现'!$D$7:$D$196,"豆一",'逐条表现'!$N$7:$N$196,"&gt;0",'逐条表现'!$O$7:$O$196,"&gt;0")</x:f>
        <x:v>0</x:v>
      </x:c>
      <x:c r="E58" s="16" t="n">
        <x:f>COUNTIFS('逐条表现'!$F$7:$F$196,"苏冰",'逐条表现'!$G$7:$G$196,"15m",'逐条表现'!$D$7:$D$196,"豆一",'逐条表现'!$N$7:$N$196,"&gt;0")</x:f>
        <x:v>0</x:v>
      </x:c>
      <x:c r="F58" s="17" t="str">
        <x:f>IF(E58=0,"",D58/E58)</x:f>
      </x:c>
      <x:c r="G58" s="16" t="n">
        <x:f>COUNTIFS('逐条表现'!$F$7:$F$196,"苏冰",'逐条表现'!$G$7:$G$196,"15m",'逐条表现'!$D$7:$D$196,"豆一",'逐条表现'!$P$7:$P$196,"&gt;0",'逐条表现'!$Q$7:$Q$196,"&gt;0")</x:f>
        <x:v>0</x:v>
      </x:c>
      <x:c r="H58" s="16" t="n">
        <x:f>COUNTIFS('逐条表现'!$F$7:$F$196,"苏冰",'逐条表现'!$G$7:$G$196,"15m",'逐条表现'!$D$7:$D$196,"豆一",'逐条表现'!$P$7:$P$196,"&gt;0")</x:f>
        <x:v>0</x:v>
      </x:c>
      <x:c r="I58" s="17" t="str">
        <x:f>IF(H58=0,"",G58/H58)</x:f>
      </x:c>
      <x:c r="J58" s="16" t="n">
        <x:f>COUNTIFS('逐条表现'!$F$7:$F$196,"苏冰",'逐条表现'!$G$7:$G$196,"15m",'逐条表现'!$D$7:$D$196,"豆一",'逐条表现'!$R$7:$R$196,"&gt;0",'逐条表现'!$S$7:$S$196,"&gt;0")</x:f>
        <x:v>0</x:v>
      </x:c>
      <x:c r="K58" s="16" t="n">
        <x:f>COUNTIFS('逐条表现'!$F$7:$F$196,"苏冰",'逐条表现'!$G$7:$G$196,"15m",'逐条表现'!$D$7:$D$196,"豆一",'逐条表现'!$R$7:$R$196,"&gt;0")</x:f>
        <x:v>0</x:v>
      </x:c>
      <x:c r="L58" s="17" t="str">
        <x:f>IF(K58=0,"",J58/K58)</x:f>
      </x:c>
      <x:c r="M58" s="5" t="str">
        <x:f>IF(K58=0,"",SUMIFS('逐条表现'!$S$7:$S$196,'逐条表现'!$F$7:$F$196,"苏冰",'逐条表现'!$G$7:$G$196,"15m",'逐条表现'!$D$7:$D$196,"豆一")/K58)</x:f>
      </x:c>
      <x:c r="N58" s="16" t="n">
        <x:f>C58-K58-COUNTIFS('逐条表现'!$F$7:$F$196,"苏冰",'逐条表现'!$G$7:$G$196,"15m",'逐条表现'!$D$7:$D$196,"豆一",'逐条表现'!$AK$7:$AK$196,"待观察")</x:f>
        <x:v>2</x:v>
      </x:c>
      <x:c r="O58" s="16" t="n">
        <x:f>COUNTIFS('逐条表现'!$F$7:$F$196,"苏冰",'逐条表现'!$G$7:$G$196,"15m",'逐条表现'!$D$7:$D$196,"豆一",'逐条表现'!$N$7:$N$196,"&gt;0",'逐条表现'!$O$7:$O$196,"&lt;0")</x:f>
        <x:v>0</x:v>
      </x:c>
      <x:c r="P58" s="16" t="n">
        <x:f>COUNTIFS('逐条表现'!$F$7:$F$196,"苏冰",'逐条表现'!$G$7:$G$196,"15m",'逐条表现'!$D$7:$D$196,"豆一",'逐条表现'!$N$7:$N$196,"&gt;0",'逐条表现'!$O$7:$O$196,"=0")</x:f>
        <x:v>0</x:v>
      </x:c>
      <x:c r="Q58" s="16" t="n">
        <x:f>COUNTIFS('逐条表现'!$F$7:$F$196,"苏冰",'逐条表现'!$G$7:$G$196,"15m",'逐条表现'!$D$7:$D$196,"豆一",'逐条表现'!$P$7:$P$196,"&gt;0",'逐条表现'!$Q$7:$Q$196,"&lt;0")</x:f>
        <x:v>0</x:v>
      </x:c>
      <x:c r="R58" s="16" t="n">
        <x:f>COUNTIFS('逐条表现'!$F$7:$F$196,"苏冰",'逐条表现'!$G$7:$G$196,"15m",'逐条表现'!$D$7:$D$196,"豆一",'逐条表现'!$P$7:$P$196,"&gt;0",'逐条表现'!$Q$7:$Q$196,"=0")</x:f>
        <x:v>0</x:v>
      </x:c>
      <x:c r="S58" s="16" t="n">
        <x:f>COUNTIFS('逐条表现'!$F$7:$F$196,"苏冰",'逐条表现'!$G$7:$G$196,"15m",'逐条表现'!$D$7:$D$196,"豆一",'逐条表现'!$R$7:$R$196,"&gt;0",'逐条表现'!$S$7:$S$196,"&lt;0")</x:f>
        <x:v>0</x:v>
      </x:c>
      <x:c r="T58" s="16" t="n">
        <x:f>COUNTIFS('逐条表现'!$F$7:$F$196,"苏冰",'逐条表现'!$G$7:$G$196,"15m",'逐条表现'!$D$7:$D$196,"豆一",'逐条表现'!$R$7:$R$196,"&gt;0",'逐条表现'!$S$7:$S$196,"=0")</x:f>
        <x:v>0</x:v>
      </x:c>
      <x:c r="U58" s="5" t="str">
        <x:f>IF(E58=0,"",SUMIFS('逐条表现'!$O$7:$O$196,'逐条表现'!$F$7:$F$196,"苏冰",'逐条表现'!$G$7:$G$196,"15m",'逐条表现'!$D$7:$D$196,"豆一")/E58)</x:f>
      </x:c>
      <x:c r="V58" s="5" t="str">
        <x:f>IF(H58=0,"",SUMIFS('逐条表现'!$Q$7:$Q$196,'逐条表现'!$F$7:$F$196,"苏冰",'逐条表现'!$G$7:$G$196,"15m",'逐条表现'!$D$7:$D$196,"豆一")/H58)</x:f>
      </x:c>
      <x:c r="W58" s="16" t="n">
        <x:f>C58-K58-N58</x:f>
        <x:v>0</x:v>
      </x:c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</x:row>
    <x:row r="59" ht="27" customHeight="1">
      <x:c r="A59" s="2" t="str">
        <x:v>豆二 B 苏冰</x:v>
      </x:c>
      <x:c r="B59" s="2" t="str">
        <x:v>15m</x:v>
      </x:c>
      <x:c r="C59" s="16" t="n">
        <x:f>COUNTIFS('逐条表现'!$F$7:$F$196,"苏冰",'逐条表现'!$G$7:$G$196,"15m",'逐条表现'!$D$7:$D$196,"豆二")</x:f>
        <x:v>5</x:v>
      </x:c>
      <x:c r="D59" s="16" t="n">
        <x:f>COUNTIFS('逐条表现'!$F$7:$F$196,"苏冰",'逐条表现'!$G$7:$G$196,"15m",'逐条表现'!$D$7:$D$196,"豆二",'逐条表现'!$N$7:$N$196,"&gt;0",'逐条表现'!$O$7:$O$196,"&gt;0")</x:f>
        <x:v>1</x:v>
      </x:c>
      <x:c r="E59" s="16" t="n">
        <x:f>COUNTIFS('逐条表现'!$F$7:$F$196,"苏冰",'逐条表现'!$G$7:$G$196,"15m",'逐条表现'!$D$7:$D$196,"豆二",'逐条表现'!$N$7:$N$196,"&gt;0")</x:f>
        <x:v>3</x:v>
      </x:c>
      <x:c r="F59" s="17" t="n">
        <x:f>IF(E59=0,"",D59/E59)</x:f>
        <x:v>0.3333333333333333</x:v>
      </x:c>
      <x:c r="G59" s="16" t="n">
        <x:f>COUNTIFS('逐条表现'!$F$7:$F$196,"苏冰",'逐条表现'!$G$7:$G$196,"15m",'逐条表现'!$D$7:$D$196,"豆二",'逐条表现'!$P$7:$P$196,"&gt;0",'逐条表现'!$Q$7:$Q$196,"&gt;0")</x:f>
        <x:v>1</x:v>
      </x:c>
      <x:c r="H59" s="16" t="n">
        <x:f>COUNTIFS('逐条表现'!$F$7:$F$196,"苏冰",'逐条表现'!$G$7:$G$196,"15m",'逐条表现'!$D$7:$D$196,"豆二",'逐条表现'!$P$7:$P$196,"&gt;0")</x:f>
        <x:v>2</x:v>
      </x:c>
      <x:c r="I59" s="17" t="n">
        <x:f>IF(H59=0,"",G59/H59)</x:f>
        <x:v>0.5</x:v>
      </x:c>
      <x:c r="J59" s="16" t="n">
        <x:f>COUNTIFS('逐条表现'!$F$7:$F$196,"苏冰",'逐条表现'!$G$7:$G$196,"15m",'逐条表现'!$D$7:$D$196,"豆二",'逐条表现'!$R$7:$R$196,"&gt;0",'逐条表现'!$S$7:$S$196,"&gt;0")</x:f>
        <x:v>0</x:v>
      </x:c>
      <x:c r="K59" s="16" t="n">
        <x:f>COUNTIFS('逐条表现'!$F$7:$F$196,"苏冰",'逐条表现'!$G$7:$G$196,"15m",'逐条表现'!$D$7:$D$196,"豆二",'逐条表现'!$R$7:$R$196,"&gt;0")</x:f>
        <x:v>2</x:v>
      </x:c>
      <x:c r="L59" s="17" t="n">
        <x:f>IF(K59=0,"",J59/K59)</x:f>
        <x:v>0</x:v>
      </x:c>
      <x:c r="M59" s="5" t="n">
        <x:f>IF(K59=0,"",SUMIFS('逐条表现'!$S$7:$S$196,'逐条表现'!$F$7:$F$196,"苏冰",'逐条表现'!$G$7:$G$196,"15m",'逐条表现'!$D$7:$D$196,"豆二")/K59)</x:f>
        <x:v>-0.003576146716476214</x:v>
      </x:c>
      <x:c r="N59" s="16" t="n">
        <x:f>C59-K59-COUNTIFS('逐条表现'!$F$7:$F$196,"苏冰",'逐条表现'!$G$7:$G$196,"15m",'逐条表现'!$D$7:$D$196,"豆二",'逐条表现'!$AK$7:$AK$196,"待观察")</x:f>
        <x:v>3</x:v>
      </x:c>
      <x:c r="O59" s="16" t="n">
        <x:f>COUNTIFS('逐条表现'!$F$7:$F$196,"苏冰",'逐条表现'!$G$7:$G$196,"15m",'逐条表现'!$D$7:$D$196,"豆二",'逐条表现'!$N$7:$N$196,"&gt;0",'逐条表现'!$O$7:$O$196,"&lt;0")</x:f>
        <x:v>2</x:v>
      </x:c>
      <x:c r="P59" s="16" t="n">
        <x:f>COUNTIFS('逐条表现'!$F$7:$F$196,"苏冰",'逐条表现'!$G$7:$G$196,"15m",'逐条表现'!$D$7:$D$196,"豆二",'逐条表现'!$N$7:$N$196,"&gt;0",'逐条表现'!$O$7:$O$196,"=0")</x:f>
        <x:v>0</x:v>
      </x:c>
      <x:c r="Q59" s="16" t="n">
        <x:f>COUNTIFS('逐条表现'!$F$7:$F$196,"苏冰",'逐条表现'!$G$7:$G$196,"15m",'逐条表现'!$D$7:$D$196,"豆二",'逐条表现'!$P$7:$P$196,"&gt;0",'逐条表现'!$Q$7:$Q$196,"&lt;0")</x:f>
        <x:v>1</x:v>
      </x:c>
      <x:c r="R59" s="16" t="n">
        <x:f>COUNTIFS('逐条表现'!$F$7:$F$196,"苏冰",'逐条表现'!$G$7:$G$196,"15m",'逐条表现'!$D$7:$D$196,"豆二",'逐条表现'!$P$7:$P$196,"&gt;0",'逐条表现'!$Q$7:$Q$196,"=0")</x:f>
        <x:v>0</x:v>
      </x:c>
      <x:c r="S59" s="16" t="n">
        <x:f>COUNTIFS('逐条表现'!$F$7:$F$196,"苏冰",'逐条表现'!$G$7:$G$196,"15m",'逐条表现'!$D$7:$D$196,"豆二",'逐条表现'!$R$7:$R$196,"&gt;0",'逐条表现'!$S$7:$S$196,"&lt;0")</x:f>
        <x:v>2</x:v>
      </x:c>
      <x:c r="T59" s="16" t="n">
        <x:f>COUNTIFS('逐条表现'!$F$7:$F$196,"苏冰",'逐条表现'!$G$7:$G$196,"15m",'逐条表现'!$D$7:$D$196,"豆二",'逐条表现'!$R$7:$R$196,"&gt;0",'逐条表现'!$S$7:$S$196,"=0")</x:f>
        <x:v>0</x:v>
      </x:c>
      <x:c r="U59" s="5" t="n">
        <x:f>IF(E59=0,"",SUMIFS('逐条表现'!$O$7:$O$196,'逐条表现'!$F$7:$F$196,"苏冰",'逐条表现'!$G$7:$G$196,"15m",'逐条表现'!$D$7:$D$196,"豆二")/E59)</x:f>
        <x:v>-0.0001556471306822423</x:v>
      </x:c>
      <x:c r="V59" s="5" t="n">
        <x:f>IF(H59=0,"",SUMIFS('逐条表现'!$Q$7:$Q$196,'逐条表现'!$F$7:$F$196,"苏冰",'逐条表现'!$G$7:$G$196,"15m",'逐条表现'!$D$7:$D$196,"豆二")/H59)</x:f>
        <x:v>0.0007248182000727521</x:v>
      </x:c>
      <x:c r="W59" s="16" t="n">
        <x:f>C59-K59-N59</x:f>
        <x:v>0</x:v>
      </x:c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</x:row>
    <x:row r="60" ht="27" customHeight="1">
      <x:c r="A60" s="2" t="str">
        <x:v>豆油 Y 苏冰</x:v>
      </x:c>
      <x:c r="B60" s="2" t="str">
        <x:v>15m</x:v>
      </x:c>
      <x:c r="C60" s="16" t="n">
        <x:f>COUNTIFS('逐条表现'!$F$7:$F$196,"苏冰",'逐条表现'!$G$7:$G$196,"15m",'逐条表现'!$D$7:$D$196,"豆油")</x:f>
        <x:v>4</x:v>
      </x:c>
      <x:c r="D60" s="16" t="n">
        <x:f>COUNTIFS('逐条表现'!$F$7:$F$196,"苏冰",'逐条表现'!$G$7:$G$196,"15m",'逐条表现'!$D$7:$D$196,"豆油",'逐条表现'!$N$7:$N$196,"&gt;0",'逐条表现'!$O$7:$O$196,"&gt;0")</x:f>
        <x:v>1</x:v>
      </x:c>
      <x:c r="E60" s="16" t="n">
        <x:f>COUNTIFS('逐条表现'!$F$7:$F$196,"苏冰",'逐条表现'!$G$7:$G$196,"15m",'逐条表现'!$D$7:$D$196,"豆油",'逐条表现'!$N$7:$N$196,"&gt;0")</x:f>
        <x:v>1</x:v>
      </x:c>
      <x:c r="F60" s="17" t="n">
        <x:f>IF(E60=0,"",D60/E60)</x:f>
        <x:v>1</x:v>
      </x:c>
      <x:c r="G60" s="16" t="n">
        <x:f>COUNTIFS('逐条表现'!$F$7:$F$196,"苏冰",'逐条表现'!$G$7:$G$196,"15m",'逐条表现'!$D$7:$D$196,"豆油",'逐条表现'!$P$7:$P$196,"&gt;0",'逐条表现'!$Q$7:$Q$196,"&gt;0")</x:f>
        <x:v>1</x:v>
      </x:c>
      <x:c r="H60" s="16" t="n">
        <x:f>COUNTIFS('逐条表现'!$F$7:$F$196,"苏冰",'逐条表现'!$G$7:$G$196,"15m",'逐条表现'!$D$7:$D$196,"豆油",'逐条表现'!$P$7:$P$196,"&gt;0")</x:f>
        <x:v>1</x:v>
      </x:c>
      <x:c r="I60" s="17" t="n">
        <x:f>IF(H60=0,"",G60/H60)</x:f>
        <x:v>1</x:v>
      </x:c>
      <x:c r="J60" s="16" t="n">
        <x:f>COUNTIFS('逐条表现'!$F$7:$F$196,"苏冰",'逐条表现'!$G$7:$G$196,"15m",'逐条表现'!$D$7:$D$196,"豆油",'逐条表现'!$R$7:$R$196,"&gt;0",'逐条表现'!$S$7:$S$196,"&gt;0")</x:f>
        <x:v>0</x:v>
      </x:c>
      <x:c r="K60" s="16" t="n">
        <x:f>COUNTIFS('逐条表现'!$F$7:$F$196,"苏冰",'逐条表现'!$G$7:$G$196,"15m",'逐条表现'!$D$7:$D$196,"豆油",'逐条表现'!$R$7:$R$196,"&gt;0")</x:f>
        <x:v>1</x:v>
      </x:c>
      <x:c r="L60" s="17" t="n">
        <x:f>IF(K60=0,"",J60/K60)</x:f>
        <x:v>0</x:v>
      </x:c>
      <x:c r="M60" s="5" t="n">
        <x:f>IF(K60=0,"",SUMIFS('逐条表现'!$S$7:$S$196,'逐条表现'!$F$7:$F$196,"苏冰",'逐条表现'!$G$7:$G$196,"15m",'逐条表现'!$D$7:$D$196,"豆油")/K60)</x:f>
        <x:v>-0.002176515398846446</x:v>
      </x:c>
      <x:c r="N60" s="16" t="n">
        <x:f>C60-K60-COUNTIFS('逐条表现'!$F$7:$F$196,"苏冰",'逐条表现'!$G$7:$G$196,"15m",'逐条表现'!$D$7:$D$196,"豆油",'逐条表现'!$AK$7:$AK$196,"待观察")</x:f>
        <x:v>3</x:v>
      </x:c>
      <x:c r="O60" s="16" t="n">
        <x:f>COUNTIFS('逐条表现'!$F$7:$F$196,"苏冰",'逐条表现'!$G$7:$G$196,"15m",'逐条表现'!$D$7:$D$196,"豆油",'逐条表现'!$N$7:$N$196,"&gt;0",'逐条表现'!$O$7:$O$196,"&lt;0")</x:f>
        <x:v>0</x:v>
      </x:c>
      <x:c r="P60" s="16" t="n">
        <x:f>COUNTIFS('逐条表现'!$F$7:$F$196,"苏冰",'逐条表现'!$G$7:$G$196,"15m",'逐条表现'!$D$7:$D$196,"豆油",'逐条表现'!$N$7:$N$196,"&gt;0",'逐条表现'!$O$7:$O$196,"=0")</x:f>
        <x:v>0</x:v>
      </x:c>
      <x:c r="Q60" s="16" t="n">
        <x:f>COUNTIFS('逐条表现'!$F$7:$F$196,"苏冰",'逐条表现'!$G$7:$G$196,"15m",'逐条表现'!$D$7:$D$196,"豆油",'逐条表现'!$P$7:$P$196,"&gt;0",'逐条表现'!$Q$7:$Q$196,"&lt;0")</x:f>
        <x:v>0</x:v>
      </x:c>
      <x:c r="R60" s="16" t="n">
        <x:f>COUNTIFS('逐条表现'!$F$7:$F$196,"苏冰",'逐条表现'!$G$7:$G$196,"15m",'逐条表现'!$D$7:$D$196,"豆油",'逐条表现'!$P$7:$P$196,"&gt;0",'逐条表现'!$Q$7:$Q$196,"=0")</x:f>
        <x:v>0</x:v>
      </x:c>
      <x:c r="S60" s="16" t="n">
        <x:f>COUNTIFS('逐条表现'!$F$7:$F$196,"苏冰",'逐条表现'!$G$7:$G$196,"15m",'逐条表现'!$D$7:$D$196,"豆油",'逐条表现'!$R$7:$R$196,"&gt;0",'逐条表现'!$S$7:$S$196,"&lt;0")</x:f>
        <x:v>1</x:v>
      </x:c>
      <x:c r="T60" s="16" t="n">
        <x:f>COUNTIFS('逐条表现'!$F$7:$F$196,"苏冰",'逐条表现'!$G$7:$G$196,"15m",'逐条表现'!$D$7:$D$196,"豆油",'逐条表现'!$R$7:$R$196,"&gt;0",'逐条表现'!$S$7:$S$196,"=0")</x:f>
        <x:v>0</x:v>
      </x:c>
      <x:c r="U60" s="5" t="n">
        <x:f>IF(E60=0,"",SUMIFS('逐条表现'!$O$7:$O$196,'逐条表现'!$F$7:$F$196,"苏冰",'逐条表现'!$G$7:$G$196,"15m",'逐条表现'!$D$7:$D$196,"豆油")/E60)</x:f>
        <x:v>0.0015235607791924677</x:v>
      </x:c>
      <x:c r="V60" s="5" t="n">
        <x:f>IF(H60=0,"",SUMIFS('逐条表现'!$Q$7:$Q$196,'逐条表现'!$F$7:$F$196,"苏冰",'逐条表现'!$G$7:$G$196,"15m",'逐条表现'!$D$7:$D$196,"豆油")/H60)</x:f>
        <x:v>0.00021765153988462238</x:v>
      </x:c>
      <x:c r="W60" s="16" t="n">
        <x:f>C60-K60-N60</x:f>
        <x:v>0</x:v>
      </x:c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</x:row>
    <x:row r="61" ht="27" customHeight="1">
      <x:c r="A61" s="2" t="str">
        <x:v>豆粕 M 苏冰</x:v>
      </x:c>
      <x:c r="B61" s="2" t="str">
        <x:v>15m</x:v>
      </x:c>
      <x:c r="C61" s="16" t="n">
        <x:f>COUNTIFS('逐条表现'!$F$7:$F$196,"苏冰",'逐条表现'!$G$7:$G$196,"15m",'逐条表现'!$D$7:$D$196,"豆粕")</x:f>
        <x:v>5</x:v>
      </x:c>
      <x:c r="D61" s="16" t="n">
        <x:f>COUNTIFS('逐条表现'!$F$7:$F$196,"苏冰",'逐条表现'!$G$7:$G$196,"15m",'逐条表现'!$D$7:$D$196,"豆粕",'逐条表现'!$N$7:$N$196,"&gt;0",'逐条表现'!$O$7:$O$196,"&gt;0")</x:f>
        <x:v>0</x:v>
      </x:c>
      <x:c r="E61" s="16" t="n">
        <x:f>COUNTIFS('逐条表现'!$F$7:$F$196,"苏冰",'逐条表现'!$G$7:$G$196,"15m",'逐条表现'!$D$7:$D$196,"豆粕",'逐条表现'!$N$7:$N$196,"&gt;0")</x:f>
        <x:v>2</x:v>
      </x:c>
      <x:c r="F61" s="17" t="n">
        <x:f>IF(E61=0,"",D61/E61)</x:f>
        <x:v>0</x:v>
      </x:c>
      <x:c r="G61" s="16" t="n">
        <x:f>COUNTIFS('逐条表现'!$F$7:$F$196,"苏冰",'逐条表现'!$G$7:$G$196,"15m",'逐条表现'!$D$7:$D$196,"豆粕",'逐条表现'!$P$7:$P$196,"&gt;0",'逐条表现'!$Q$7:$Q$196,"&gt;0")</x:f>
        <x:v>1</x:v>
      </x:c>
      <x:c r="H61" s="16" t="n">
        <x:f>COUNTIFS('逐条表现'!$F$7:$F$196,"苏冰",'逐条表现'!$G$7:$G$196,"15m",'逐条表现'!$D$7:$D$196,"豆粕",'逐条表现'!$P$7:$P$196,"&gt;0")</x:f>
        <x:v>2</x:v>
      </x:c>
      <x:c r="I61" s="17" t="n">
        <x:f>IF(H61=0,"",G61/H61)</x:f>
        <x:v>0.5</x:v>
      </x:c>
      <x:c r="J61" s="16" t="n">
        <x:f>COUNTIFS('逐条表现'!$F$7:$F$196,"苏冰",'逐条表现'!$G$7:$G$196,"15m",'逐条表现'!$D$7:$D$196,"豆粕",'逐条表现'!$R$7:$R$196,"&gt;0",'逐条表现'!$S$7:$S$196,"&gt;0")</x:f>
        <x:v>0</x:v>
      </x:c>
      <x:c r="K61" s="16" t="n">
        <x:f>COUNTIFS('逐条表现'!$F$7:$F$196,"苏冰",'逐条表现'!$G$7:$G$196,"15m",'逐条表现'!$D$7:$D$196,"豆粕",'逐条表现'!$R$7:$R$196,"&gt;0")</x:f>
        <x:v>2</x:v>
      </x:c>
      <x:c r="L61" s="17" t="n">
        <x:f>IF(K61=0,"",J61/K61)</x:f>
        <x:v>0</x:v>
      </x:c>
      <x:c r="M61" s="5" t="n">
        <x:f>IF(K61=0,"",SUMIFS('逐条表现'!$S$7:$S$196,'逐条表现'!$F$7:$F$196,"苏冰",'逐条表现'!$G$7:$G$196,"15m",'逐条表现'!$D$7:$D$196,"豆粕")/K61)</x:f>
        <x:v>-0.004084054180872987</x:v>
      </x:c>
      <x:c r="N61" s="16" t="n">
        <x:f>C61-K61-COUNTIFS('逐条表现'!$F$7:$F$196,"苏冰",'逐条表现'!$G$7:$G$196,"15m",'逐条表现'!$D$7:$D$196,"豆粕",'逐条表现'!$AK$7:$AK$196,"待观察")</x:f>
        <x:v>3</x:v>
      </x:c>
      <x:c r="O61" s="16" t="n">
        <x:f>COUNTIFS('逐条表现'!$F$7:$F$196,"苏冰",'逐条表现'!$G$7:$G$196,"15m",'逐条表现'!$D$7:$D$196,"豆粕",'逐条表现'!$N$7:$N$196,"&gt;0",'逐条表现'!$O$7:$O$196,"&lt;0")</x:f>
        <x:v>1</x:v>
      </x:c>
      <x:c r="P61" s="16" t="n">
        <x:f>COUNTIFS('逐条表现'!$F$7:$F$196,"苏冰",'逐条表现'!$G$7:$G$196,"15m",'逐条表现'!$D$7:$D$196,"豆粕",'逐条表现'!$N$7:$N$196,"&gt;0",'逐条表现'!$O$7:$O$196,"=0")</x:f>
        <x:v>1</x:v>
      </x:c>
      <x:c r="Q61" s="16" t="n">
        <x:f>COUNTIFS('逐条表现'!$F$7:$F$196,"苏冰",'逐条表现'!$G$7:$G$196,"15m",'逐条表现'!$D$7:$D$196,"豆粕",'逐条表现'!$P$7:$P$196,"&gt;0",'逐条表现'!$Q$7:$Q$196,"&lt;0")</x:f>
        <x:v>1</x:v>
      </x:c>
      <x:c r="R61" s="16" t="n">
        <x:f>COUNTIFS('逐条表现'!$F$7:$F$196,"苏冰",'逐条表现'!$G$7:$G$196,"15m",'逐条表现'!$D$7:$D$196,"豆粕",'逐条表现'!$P$7:$P$196,"&gt;0",'逐条表现'!$Q$7:$Q$196,"=0")</x:f>
        <x:v>0</x:v>
      </x:c>
      <x:c r="S61" s="16" t="n">
        <x:f>COUNTIFS('逐条表现'!$F$7:$F$196,"苏冰",'逐条表现'!$G$7:$G$196,"15m",'逐条表现'!$D$7:$D$196,"豆粕",'逐条表现'!$R$7:$R$196,"&gt;0",'逐条表现'!$S$7:$S$196,"&lt;0")</x:f>
        <x:v>2</x:v>
      </x:c>
      <x:c r="T61" s="16" t="n">
        <x:f>COUNTIFS('逐条表现'!$F$7:$F$196,"苏冰",'逐条表现'!$G$7:$G$196,"15m",'逐条表现'!$D$7:$D$196,"豆粕",'逐条表现'!$R$7:$R$196,"&gt;0",'逐条表现'!$S$7:$S$196,"=0")</x:f>
        <x:v>0</x:v>
      </x:c>
      <x:c r="U61" s="5" t="n">
        <x:f>IF(E61=0,"",SUMIFS('逐条表现'!$O$7:$O$196,'逐条表现'!$F$7:$F$196,"苏冰",'逐条表现'!$G$7:$G$196,"15m",'逐条表现'!$D$7:$D$196,"豆粕")/E61)</x:f>
        <x:v>-0.0016020972909991382</x:v>
      </x:c>
      <x:c r="V61" s="5" t="n">
        <x:f>IF(H61=0,"",SUMIFS('逐条表现'!$Q$7:$Q$196,'逐条表现'!$F$7:$F$196,"苏冰",'逐条表现'!$G$7:$G$196,"15m",'逐条表现'!$D$7:$D$196,"豆粕")/H61)</x:f>
        <x:v>-0.00057779015369952</x:v>
      </x:c>
      <x:c r="W61" s="16" t="n">
        <x:f>C61-K61-N61</x:f>
        <x:v>0</x:v>
      </x:c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</x:row>
    <x:row r="62" ht="27" customHeight="1">
      <x:c r="A62" s="2" t="str">
        <x:v>钯金 PD 苏冰</x:v>
      </x:c>
      <x:c r="B62" s="2" t="str">
        <x:v>15m</x:v>
      </x:c>
      <x:c r="C62" s="16" t="n">
        <x:f>COUNTIFS('逐条表现'!$F$7:$F$196,"苏冰",'逐条表现'!$G$7:$G$196,"15m",'逐条表现'!$D$7:$D$196,"钯金")</x:f>
        <x:v>2</x:v>
      </x:c>
      <x:c r="D62" s="16" t="n">
        <x:f>COUNTIFS('逐条表现'!$F$7:$F$196,"苏冰",'逐条表现'!$G$7:$G$196,"15m",'逐条表现'!$D$7:$D$196,"钯金",'逐条表现'!$N$7:$N$196,"&gt;0",'逐条表现'!$O$7:$O$196,"&gt;0")</x:f>
        <x:v>1</x:v>
      </x:c>
      <x:c r="E62" s="16" t="n">
        <x:f>COUNTIFS('逐条表现'!$F$7:$F$196,"苏冰",'逐条表现'!$G$7:$G$196,"15m",'逐条表现'!$D$7:$D$196,"钯金",'逐条表现'!$N$7:$N$196,"&gt;0")</x:f>
        <x:v>2</x:v>
      </x:c>
      <x:c r="F62" s="17" t="n">
        <x:f>IF(E62=0,"",D62/E62)</x:f>
        <x:v>0.5</x:v>
      </x:c>
      <x:c r="G62" s="16" t="n">
        <x:f>COUNTIFS('逐条表现'!$F$7:$F$196,"苏冰",'逐条表现'!$G$7:$G$196,"15m",'逐条表现'!$D$7:$D$196,"钯金",'逐条表现'!$P$7:$P$196,"&gt;0",'逐条表现'!$Q$7:$Q$196,"&gt;0")</x:f>
        <x:v>1</x:v>
      </x:c>
      <x:c r="H62" s="16" t="n">
        <x:f>COUNTIFS('逐条表现'!$F$7:$F$196,"苏冰",'逐条表现'!$G$7:$G$196,"15m",'逐条表现'!$D$7:$D$196,"钯金",'逐条表现'!$P$7:$P$196,"&gt;0")</x:f>
        <x:v>2</x:v>
      </x:c>
      <x:c r="I62" s="17" t="n">
        <x:f>IF(H62=0,"",G62/H62)</x:f>
        <x:v>0.5</x:v>
      </x:c>
      <x:c r="J62" s="16" t="n">
        <x:f>COUNTIFS('逐条表现'!$F$7:$F$196,"苏冰",'逐条表现'!$G$7:$G$196,"15m",'逐条表现'!$D$7:$D$196,"钯金",'逐条表现'!$R$7:$R$196,"&gt;0",'逐条表现'!$S$7:$S$196,"&gt;0")</x:f>
        <x:v>0</x:v>
      </x:c>
      <x:c r="K62" s="16" t="n">
        <x:f>COUNTIFS('逐条表现'!$F$7:$F$196,"苏冰",'逐条表现'!$G$7:$G$196,"15m",'逐条表现'!$D$7:$D$196,"钯金",'逐条表现'!$R$7:$R$196,"&gt;0")</x:f>
        <x:v>2</x:v>
      </x:c>
      <x:c r="L62" s="17" t="n">
        <x:f>IF(K62=0,"",J62/K62)</x:f>
        <x:v>0</x:v>
      </x:c>
      <x:c r="M62" s="5" t="n">
        <x:f>IF(K62=0,"",SUMIFS('逐条表现'!$S$7:$S$196,'逐条表现'!$F$7:$F$196,"苏冰",'逐条表现'!$G$7:$G$196,"15m",'逐条表现'!$D$7:$D$196,"钯金")/K62)</x:f>
        <x:v>-0.0037593984962406846</x:v>
      </x:c>
      <x:c r="N62" s="16" t="n">
        <x:f>C62-K62-COUNTIFS('逐条表现'!$F$7:$F$196,"苏冰",'逐条表现'!$G$7:$G$196,"15m",'逐条表现'!$D$7:$D$196,"钯金",'逐条表现'!$AK$7:$AK$196,"待观察")</x:f>
        <x:v>0</x:v>
      </x:c>
      <x:c r="O62" s="16" t="n">
        <x:f>COUNTIFS('逐条表现'!$F$7:$F$196,"苏冰",'逐条表现'!$G$7:$G$196,"15m",'逐条表现'!$D$7:$D$196,"钯金",'逐条表现'!$N$7:$N$196,"&gt;0",'逐条表现'!$O$7:$O$196,"&lt;0")</x:f>
        <x:v>1</x:v>
      </x:c>
      <x:c r="P62" s="16" t="n">
        <x:f>COUNTIFS('逐条表现'!$F$7:$F$196,"苏冰",'逐条表现'!$G$7:$G$196,"15m",'逐条表现'!$D$7:$D$196,"钯金",'逐条表现'!$N$7:$N$196,"&gt;0",'逐条表现'!$O$7:$O$196,"=0")</x:f>
        <x:v>0</x:v>
      </x:c>
      <x:c r="Q62" s="16" t="n">
        <x:f>COUNTIFS('逐条表现'!$F$7:$F$196,"苏冰",'逐条表现'!$G$7:$G$196,"15m",'逐条表现'!$D$7:$D$196,"钯金",'逐条表现'!$P$7:$P$196,"&gt;0",'逐条表现'!$Q$7:$Q$196,"&lt;0")</x:f>
        <x:v>1</x:v>
      </x:c>
      <x:c r="R62" s="16" t="n">
        <x:f>COUNTIFS('逐条表现'!$F$7:$F$196,"苏冰",'逐条表现'!$G$7:$G$196,"15m",'逐条表现'!$D$7:$D$196,"钯金",'逐条表现'!$P$7:$P$196,"&gt;0",'逐条表现'!$Q$7:$Q$196,"=0")</x:f>
        <x:v>0</x:v>
      </x:c>
      <x:c r="S62" s="16" t="n">
        <x:f>COUNTIFS('逐条表现'!$F$7:$F$196,"苏冰",'逐条表现'!$G$7:$G$196,"15m",'逐条表现'!$D$7:$D$196,"钯金",'逐条表现'!$R$7:$R$196,"&gt;0",'逐条表现'!$S$7:$S$196,"&lt;0")</x:f>
        <x:v>1</x:v>
      </x:c>
      <x:c r="T62" s="16" t="n">
        <x:f>COUNTIFS('逐条表现'!$F$7:$F$196,"苏冰",'逐条表现'!$G$7:$G$196,"15m",'逐条表现'!$D$7:$D$196,"钯金",'逐条表现'!$R$7:$R$196,"&gt;0",'逐条表现'!$S$7:$S$196,"=0")</x:f>
        <x:v>1</x:v>
      </x:c>
      <x:c r="U62" s="5" t="n">
        <x:f>IF(E62=0,"",SUMIFS('逐条表现'!$O$7:$O$196,'逐条表现'!$F$7:$F$196,"苏冰",'逐条表现'!$G$7:$G$196,"15m",'逐条表现'!$D$7:$D$196,"钯金")/E62)</x:f>
        <x:v>0.0010839947735757915</x:v>
      </x:c>
      <x:c r="V62" s="5" t="n">
        <x:f>IF(H62=0,"",SUMIFS('逐条表现'!$Q$7:$Q$196,'逐条表现'!$F$7:$F$196,"苏冰",'逐条表现'!$G$7:$G$196,"15m",'逐条表现'!$D$7:$D$196,"钯金")/H62)</x:f>
        <x:v>0.00015635098878918896</x:v>
      </x:c>
      <x:c r="W62" s="16" t="n">
        <x:f>C62-K62-N62</x:f>
        <x:v>0</x:v>
      </x:c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</x:row>
    <x:row r="63" ht="27" customHeight="1">
      <x:c r="A63" s="2" t="str">
        <x:v>铁矿石 I 苏冰</x:v>
      </x:c>
      <x:c r="B63" s="2" t="str">
        <x:v>15m</x:v>
      </x:c>
      <x:c r="C63" s="16" t="n">
        <x:f>COUNTIFS('逐条表现'!$F$7:$F$196,"苏冰",'逐条表现'!$G$7:$G$196,"15m",'逐条表现'!$D$7:$D$196,"铁矿石")</x:f>
        <x:v>4</x:v>
      </x:c>
      <x:c r="D63" s="16" t="n">
        <x:f>COUNTIFS('逐条表现'!$F$7:$F$196,"苏冰",'逐条表现'!$G$7:$G$196,"15m",'逐条表现'!$D$7:$D$196,"铁矿石",'逐条表现'!$N$7:$N$196,"&gt;0",'逐条表现'!$O$7:$O$196,"&gt;0")</x:f>
        <x:v>0</x:v>
      </x:c>
      <x:c r="E63" s="16" t="n">
        <x:f>COUNTIFS('逐条表现'!$F$7:$F$196,"苏冰",'逐条表现'!$G$7:$G$196,"15m",'逐条表现'!$D$7:$D$196,"铁矿石",'逐条表现'!$N$7:$N$196,"&gt;0")</x:f>
        <x:v>1</x:v>
      </x:c>
      <x:c r="F63" s="17" t="n">
        <x:f>IF(E63=0,"",D63/E63)</x:f>
        <x:v>0</x:v>
      </x:c>
      <x:c r="G63" s="16" t="n">
        <x:f>COUNTIFS('逐条表现'!$F$7:$F$196,"苏冰",'逐条表现'!$G$7:$G$196,"15m",'逐条表现'!$D$7:$D$196,"铁矿石",'逐条表现'!$P$7:$P$196,"&gt;0",'逐条表现'!$Q$7:$Q$196,"&gt;0")</x:f>
        <x:v>0</x:v>
      </x:c>
      <x:c r="H63" s="16" t="n">
        <x:f>COUNTIFS('逐条表现'!$F$7:$F$196,"苏冰",'逐条表现'!$G$7:$G$196,"15m",'逐条表现'!$D$7:$D$196,"铁矿石",'逐条表现'!$P$7:$P$196,"&gt;0")</x:f>
        <x:v>1</x:v>
      </x:c>
      <x:c r="I63" s="17" t="n">
        <x:f>IF(H63=0,"",G63/H63)</x:f>
        <x:v>0</x:v>
      </x:c>
      <x:c r="J63" s="16" t="n">
        <x:f>COUNTIFS('逐条表现'!$F$7:$F$196,"苏冰",'逐条表现'!$G$7:$G$196,"15m",'逐条表现'!$D$7:$D$196,"铁矿石",'逐条表现'!$R$7:$R$196,"&gt;0",'逐条表现'!$S$7:$S$196,"&gt;0")</x:f>
        <x:v>0</x:v>
      </x:c>
      <x:c r="K63" s="16" t="n">
        <x:f>COUNTIFS('逐条表现'!$F$7:$F$196,"苏冰",'逐条表现'!$G$7:$G$196,"15m",'逐条表现'!$D$7:$D$196,"铁矿石",'逐条表现'!$R$7:$R$196,"&gt;0")</x:f>
        <x:v>0</x:v>
      </x:c>
      <x:c r="L63" s="17" t="str">
        <x:f>IF(K63=0,"",J63/K63)</x:f>
      </x:c>
      <x:c r="M63" s="5" t="str">
        <x:f>IF(K63=0,"",SUMIFS('逐条表现'!$S$7:$S$196,'逐条表现'!$F$7:$F$196,"苏冰",'逐条表现'!$G$7:$G$196,"15m",'逐条表现'!$D$7:$D$196,"铁矿石")/K63)</x:f>
      </x:c>
      <x:c r="N63" s="16" t="n">
        <x:f>C63-K63-COUNTIFS('逐条表现'!$F$7:$F$196,"苏冰",'逐条表现'!$G$7:$G$196,"15m",'逐条表现'!$D$7:$D$196,"铁矿石",'逐条表现'!$AK$7:$AK$196,"待观察")</x:f>
        <x:v>4</x:v>
      </x:c>
      <x:c r="O63" s="16" t="n">
        <x:f>COUNTIFS('逐条表现'!$F$7:$F$196,"苏冰",'逐条表现'!$G$7:$G$196,"15m",'逐条表现'!$D$7:$D$196,"铁矿石",'逐条表现'!$N$7:$N$196,"&gt;0",'逐条表现'!$O$7:$O$196,"&lt;0")</x:f>
        <x:v>0</x:v>
      </x:c>
      <x:c r="P63" s="16" t="n">
        <x:f>COUNTIFS('逐条表现'!$F$7:$F$196,"苏冰",'逐条表现'!$G$7:$G$196,"15m",'逐条表现'!$D$7:$D$196,"铁矿石",'逐条表现'!$N$7:$N$196,"&gt;0",'逐条表现'!$O$7:$O$196,"=0")</x:f>
        <x:v>1</x:v>
      </x:c>
      <x:c r="Q63" s="16" t="n">
        <x:f>COUNTIFS('逐条表现'!$F$7:$F$196,"苏冰",'逐条表现'!$G$7:$G$196,"15m",'逐条表现'!$D$7:$D$196,"铁矿石",'逐条表现'!$P$7:$P$196,"&gt;0",'逐条表现'!$Q$7:$Q$196,"&lt;0")</x:f>
        <x:v>0</x:v>
      </x:c>
      <x:c r="R63" s="16" t="n">
        <x:f>COUNTIFS('逐条表现'!$F$7:$F$196,"苏冰",'逐条表现'!$G$7:$G$196,"15m",'逐条表现'!$D$7:$D$196,"铁矿石",'逐条表现'!$P$7:$P$196,"&gt;0",'逐条表现'!$Q$7:$Q$196,"=0")</x:f>
        <x:v>1</x:v>
      </x:c>
      <x:c r="S63" s="16" t="n">
        <x:f>COUNTIFS('逐条表现'!$F$7:$F$196,"苏冰",'逐条表现'!$G$7:$G$196,"15m",'逐条表现'!$D$7:$D$196,"铁矿石",'逐条表现'!$R$7:$R$196,"&gt;0",'逐条表现'!$S$7:$S$196,"&lt;0")</x:f>
        <x:v>0</x:v>
      </x:c>
      <x:c r="T63" s="16" t="n">
        <x:f>COUNTIFS('逐条表现'!$F$7:$F$196,"苏冰",'逐条表现'!$G$7:$G$196,"15m",'逐条表现'!$D$7:$D$196,"铁矿石",'逐条表现'!$R$7:$R$196,"&gt;0",'逐条表现'!$S$7:$S$196,"=0")</x:f>
        <x:v>0</x:v>
      </x:c>
      <x:c r="U63" s="5" t="n">
        <x:f>IF(E63=0,"",SUMIFS('逐条表现'!$O$7:$O$196,'逐条表现'!$F$7:$F$196,"苏冰",'逐条表现'!$G$7:$G$196,"15m",'逐条表现'!$D$7:$D$196,"铁矿石")/E63)</x:f>
        <x:v>0</x:v>
      </x:c>
      <x:c r="V63" s="5" t="n">
        <x:f>IF(H63=0,"",SUMIFS('逐条表现'!$Q$7:$Q$196,'逐条表现'!$F$7:$F$196,"苏冰",'逐条表现'!$G$7:$G$196,"15m",'逐条表现'!$D$7:$D$196,"铁矿石")/H63)</x:f>
        <x:v>0</x:v>
      </x:c>
      <x:c r="W63" s="16" t="n">
        <x:f>C63-K63-N63</x:f>
        <x:v>0</x:v>
      </x:c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</x:row>
    <x:row r="64" ht="27" customHeight="1">
      <x:c r="A64" s="2" t="str">
        <x:v>铂金 PT 苏冰</x:v>
      </x:c>
      <x:c r="B64" s="2" t="str">
        <x:v>15m</x:v>
      </x:c>
      <x:c r="C64" s="16" t="n">
        <x:f>COUNTIFS('逐条表现'!$F$7:$F$196,"苏冰",'逐条表现'!$G$7:$G$196,"15m",'逐条表现'!$D$7:$D$196,"铂金")</x:f>
        <x:v>2</x:v>
      </x:c>
      <x:c r="D64" s="16" t="n">
        <x:f>COUNTIFS('逐条表现'!$F$7:$F$196,"苏冰",'逐条表现'!$G$7:$G$196,"15m",'逐条表现'!$D$7:$D$196,"铂金",'逐条表现'!$N$7:$N$196,"&gt;0",'逐条表现'!$O$7:$O$196,"&gt;0")</x:f>
        <x:v>1</x:v>
      </x:c>
      <x:c r="E64" s="16" t="n">
        <x:f>COUNTIFS('逐条表现'!$F$7:$F$196,"苏冰",'逐条表现'!$G$7:$G$196,"15m",'逐条表现'!$D$7:$D$196,"铂金",'逐条表现'!$N$7:$N$196,"&gt;0")</x:f>
        <x:v>1</x:v>
      </x:c>
      <x:c r="F64" s="17" t="n">
        <x:f>IF(E64=0,"",D64/E64)</x:f>
        <x:v>1</x:v>
      </x:c>
      <x:c r="G64" s="16" t="n">
        <x:f>COUNTIFS('逐条表现'!$F$7:$F$196,"苏冰",'逐条表现'!$G$7:$G$196,"15m",'逐条表现'!$D$7:$D$196,"铂金",'逐条表现'!$P$7:$P$196,"&gt;0",'逐条表现'!$Q$7:$Q$196,"&gt;0")</x:f>
        <x:v>0</x:v>
      </x:c>
      <x:c r="H64" s="16" t="n">
        <x:f>COUNTIFS('逐条表现'!$F$7:$F$196,"苏冰",'逐条表现'!$G$7:$G$196,"15m",'逐条表现'!$D$7:$D$196,"铂金",'逐条表现'!$P$7:$P$196,"&gt;0")</x:f>
        <x:v>1</x:v>
      </x:c>
      <x:c r="I64" s="17" t="n">
        <x:f>IF(H64=0,"",G64/H64)</x:f>
        <x:v>0</x:v>
      </x:c>
      <x:c r="J64" s="16" t="n">
        <x:f>COUNTIFS('逐条表现'!$F$7:$F$196,"苏冰",'逐条表现'!$G$7:$G$196,"15m",'逐条表现'!$D$7:$D$196,"铂金",'逐条表现'!$R$7:$R$196,"&gt;0",'逐条表现'!$S$7:$S$196,"&gt;0")</x:f>
        <x:v>0</x:v>
      </x:c>
      <x:c r="K64" s="16" t="n">
        <x:f>COUNTIFS('逐条表现'!$F$7:$F$196,"苏冰",'逐条表现'!$G$7:$G$196,"15m",'逐条表现'!$D$7:$D$196,"铂金",'逐条表现'!$R$7:$R$196,"&gt;0")</x:f>
        <x:v>1</x:v>
      </x:c>
      <x:c r="L64" s="17" t="n">
        <x:f>IF(K64=0,"",J64/K64)</x:f>
        <x:v>0</x:v>
      </x:c>
      <x:c r="M64" s="5" t="n">
        <x:f>IF(K64=0,"",SUMIFS('逐条表现'!$S$7:$S$196,'逐条表现'!$F$7:$F$196,"苏冰",'逐条表现'!$G$7:$G$196,"15m",'逐条表现'!$D$7:$D$196,"铂金")/K64)</x:f>
        <x:v>-0.004559101523406994</x:v>
      </x:c>
      <x:c r="N64" s="16" t="n">
        <x:f>C64-K64-COUNTIFS('逐条表现'!$F$7:$F$196,"苏冰",'逐条表现'!$G$7:$G$196,"15m",'逐条表现'!$D$7:$D$196,"铂金",'逐条表现'!$AK$7:$AK$196,"待观察")</x:f>
        <x:v>1</x:v>
      </x:c>
      <x:c r="O64" s="16" t="n">
        <x:f>COUNTIFS('逐条表现'!$F$7:$F$196,"苏冰",'逐条表现'!$G$7:$G$196,"15m",'逐条表现'!$D$7:$D$196,"铂金",'逐条表现'!$N$7:$N$196,"&gt;0",'逐条表现'!$O$7:$O$196,"&lt;0")</x:f>
        <x:v>0</x:v>
      </x:c>
      <x:c r="P64" s="16" t="n">
        <x:f>COUNTIFS('逐条表现'!$F$7:$F$196,"苏冰",'逐条表现'!$G$7:$G$196,"15m",'逐条表现'!$D$7:$D$196,"铂金",'逐条表现'!$N$7:$N$196,"&gt;0",'逐条表现'!$O$7:$O$196,"=0")</x:f>
        <x:v>0</x:v>
      </x:c>
      <x:c r="Q64" s="16" t="n">
        <x:f>COUNTIFS('逐条表现'!$F$7:$F$196,"苏冰",'逐条表现'!$G$7:$G$196,"15m",'逐条表现'!$D$7:$D$196,"铂金",'逐条表现'!$P$7:$P$196,"&gt;0",'逐条表现'!$Q$7:$Q$196,"&lt;0")</x:f>
        <x:v>1</x:v>
      </x:c>
      <x:c r="R64" s="16" t="n">
        <x:f>COUNTIFS('逐条表现'!$F$7:$F$196,"苏冰",'逐条表现'!$G$7:$G$196,"15m",'逐条表现'!$D$7:$D$196,"铂金",'逐条表现'!$P$7:$P$196,"&gt;0",'逐条表现'!$Q$7:$Q$196,"=0")</x:f>
        <x:v>0</x:v>
      </x:c>
      <x:c r="S64" s="16" t="n">
        <x:f>COUNTIFS('逐条表现'!$F$7:$F$196,"苏冰",'逐条表现'!$G$7:$G$196,"15m",'逐条表现'!$D$7:$D$196,"铂金",'逐条表现'!$R$7:$R$196,"&gt;0",'逐条表现'!$S$7:$S$196,"&lt;0")</x:f>
        <x:v>1</x:v>
      </x:c>
      <x:c r="T64" s="16" t="n">
        <x:f>COUNTIFS('逐条表现'!$F$7:$F$196,"苏冰",'逐条表现'!$G$7:$G$196,"15m",'逐条表现'!$D$7:$D$196,"铂金",'逐条表现'!$R$7:$R$196,"&gt;0",'逐条表现'!$S$7:$S$196,"=0")</x:f>
        <x:v>0</x:v>
      </x:c>
      <x:c r="U64" s="5" t="n">
        <x:f>IF(E64=0,"",SUMIFS('逐条表现'!$O$7:$O$196,'逐条表现'!$F$7:$F$196,"苏冰",'逐条表现'!$G$7:$G$196,"15m",'逐条表现'!$D$7:$D$196,"铂金")/E64)</x:f>
        <x:v>0.0007783831869232483</x:v>
      </x:c>
      <x:c r="V64" s="5" t="n">
        <x:f>IF(H64=0,"",SUMIFS('逐条表现'!$Q$7:$Q$196,'逐条表现'!$F$7:$F$196,"苏冰",'逐条表现'!$G$7:$G$196,"15m",'逐条表现'!$D$7:$D$196,"铂金")/H64)</x:f>
        <x:v>-0.00022239519626365833</x:v>
      </x:c>
      <x:c r="W64" s="16" t="n">
        <x:f>C64-K64-N64</x:f>
        <x:v>0</x:v>
      </x:c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</x:row>
    <x:row r="65" ht="27" customHeight="1">
      <x:c r="A65" s="2" t="str">
        <x:v>铜 CU 苏冰</x:v>
      </x:c>
      <x:c r="B65" s="2" t="str">
        <x:v>15m</x:v>
      </x:c>
      <x:c r="C65" s="16" t="n">
        <x:f>COUNTIFS('逐条表现'!$F$7:$F$196,"苏冰",'逐条表现'!$G$7:$G$196,"15m",'逐条表现'!$D$7:$D$196,"铜")</x:f>
        <x:v>3</x:v>
      </x:c>
      <x:c r="D65" s="16" t="n">
        <x:f>COUNTIFS('逐条表现'!$F$7:$F$196,"苏冰",'逐条表现'!$G$7:$G$196,"15m",'逐条表现'!$D$7:$D$196,"铜",'逐条表现'!$N$7:$N$196,"&gt;0",'逐条表现'!$O$7:$O$196,"&gt;0")</x:f>
        <x:v>1</x:v>
      </x:c>
      <x:c r="E65" s="16" t="n">
        <x:f>COUNTIFS('逐条表现'!$F$7:$F$196,"苏冰",'逐条表现'!$G$7:$G$196,"15m",'逐条表现'!$D$7:$D$196,"铜",'逐条表现'!$N$7:$N$196,"&gt;0")</x:f>
        <x:v>1</x:v>
      </x:c>
      <x:c r="F65" s="17" t="n">
        <x:f>IF(E65=0,"",D65/E65)</x:f>
        <x:v>1</x:v>
      </x:c>
      <x:c r="G65" s="16" t="n">
        <x:f>COUNTIFS('逐条表现'!$F$7:$F$196,"苏冰",'逐条表现'!$G$7:$G$196,"15m",'逐条表现'!$D$7:$D$196,"铜",'逐条表现'!$P$7:$P$196,"&gt;0",'逐条表现'!$Q$7:$Q$196,"&gt;0")</x:f>
        <x:v>1</x:v>
      </x:c>
      <x:c r="H65" s="16" t="n">
        <x:f>COUNTIFS('逐条表现'!$F$7:$F$196,"苏冰",'逐条表现'!$G$7:$G$196,"15m",'逐条表现'!$D$7:$D$196,"铜",'逐条表现'!$P$7:$P$196,"&gt;0")</x:f>
        <x:v>1</x:v>
      </x:c>
      <x:c r="I65" s="17" t="n">
        <x:f>IF(H65=0,"",G65/H65)</x:f>
        <x:v>1</x:v>
      </x:c>
      <x:c r="J65" s="16" t="n">
        <x:f>COUNTIFS('逐条表现'!$F$7:$F$196,"苏冰",'逐条表现'!$G$7:$G$196,"15m",'逐条表现'!$D$7:$D$196,"铜",'逐条表现'!$R$7:$R$196,"&gt;0",'逐条表现'!$S$7:$S$196,"&gt;0")</x:f>
        <x:v>0</x:v>
      </x:c>
      <x:c r="K65" s="16" t="n">
        <x:f>COUNTIFS('逐条表现'!$F$7:$F$196,"苏冰",'逐条表现'!$G$7:$G$196,"15m",'逐条表现'!$D$7:$D$196,"铜",'逐条表现'!$R$7:$R$196,"&gt;0")</x:f>
        <x:v>1</x:v>
      </x:c>
      <x:c r="L65" s="17" t="n">
        <x:f>IF(K65=0,"",J65/K65)</x:f>
        <x:v>0</x:v>
      </x:c>
      <x:c r="M65" s="5" t="n">
        <x:f>IF(K65=0,"",SUMIFS('逐条表现'!$S$7:$S$196,'逐条表现'!$F$7:$F$196,"苏冰",'逐条表现'!$G$7:$G$196,"15m",'逐条表现'!$D$7:$D$196,"铜")/K65)</x:f>
        <x:v>-0.0005433306166802154</x:v>
      </x:c>
      <x:c r="N65" s="16" t="n">
        <x:f>C65-K65-COUNTIFS('逐条表现'!$F$7:$F$196,"苏冰",'逐条表现'!$G$7:$G$196,"15m",'逐条表现'!$D$7:$D$196,"铜",'逐条表现'!$AK$7:$AK$196,"待观察")</x:f>
        <x:v>2</x:v>
      </x:c>
      <x:c r="O65" s="16" t="n">
        <x:f>COUNTIFS('逐条表现'!$F$7:$F$196,"苏冰",'逐条表现'!$G$7:$G$196,"15m",'逐条表现'!$D$7:$D$196,"铜",'逐条表现'!$N$7:$N$196,"&gt;0",'逐条表现'!$O$7:$O$196,"&lt;0")</x:f>
        <x:v>0</x:v>
      </x:c>
      <x:c r="P65" s="16" t="n">
        <x:f>COUNTIFS('逐条表现'!$F$7:$F$196,"苏冰",'逐条表现'!$G$7:$G$196,"15m",'逐条表现'!$D$7:$D$196,"铜",'逐条表现'!$N$7:$N$196,"&gt;0",'逐条表现'!$O$7:$O$196,"=0")</x:f>
        <x:v>0</x:v>
      </x:c>
      <x:c r="Q65" s="16" t="n">
        <x:f>COUNTIFS('逐条表现'!$F$7:$F$196,"苏冰",'逐条表现'!$G$7:$G$196,"15m",'逐条表现'!$D$7:$D$196,"铜",'逐条表现'!$P$7:$P$196,"&gt;0",'逐条表现'!$Q$7:$Q$196,"&lt;0")</x:f>
        <x:v>0</x:v>
      </x:c>
      <x:c r="R65" s="16" t="n">
        <x:f>COUNTIFS('逐条表现'!$F$7:$F$196,"苏冰",'逐条表现'!$G$7:$G$196,"15m",'逐条表现'!$D$7:$D$196,"铜",'逐条表现'!$P$7:$P$196,"&gt;0",'逐条表现'!$Q$7:$Q$196,"=0")</x:f>
        <x:v>0</x:v>
      </x:c>
      <x:c r="S65" s="16" t="n">
        <x:f>COUNTIFS('逐条表现'!$F$7:$F$196,"苏冰",'逐条表现'!$G$7:$G$196,"15m",'逐条表现'!$D$7:$D$196,"铜",'逐条表现'!$R$7:$R$196,"&gt;0",'逐条表现'!$S$7:$S$196,"&lt;0")</x:f>
        <x:v>1</x:v>
      </x:c>
      <x:c r="T65" s="16" t="n">
        <x:f>COUNTIFS('逐条表现'!$F$7:$F$196,"苏冰",'逐条表现'!$G$7:$G$196,"15m",'逐条表现'!$D$7:$D$196,"铜",'逐条表现'!$R$7:$R$196,"&gt;0",'逐条表现'!$S$7:$S$196,"=0")</x:f>
        <x:v>0</x:v>
      </x:c>
      <x:c r="U65" s="5" t="n">
        <x:f>IF(E65=0,"",SUMIFS('逐条表现'!$O$7:$O$196,'逐条表现'!$F$7:$F$196,"苏冰",'逐条表现'!$G$7:$G$196,"15m",'逐条表现'!$D$7:$D$196,"铜")/E65)</x:f>
        <x:v>0.0033505388028616245</x:v>
      </x:c>
      <x:c r="V65" s="5" t="n">
        <x:f>IF(H65=0,"",SUMIFS('逐条表现'!$Q$7:$Q$196,'逐条表现'!$F$7:$F$196,"苏冰",'逐条表现'!$G$7:$G$196,"15m",'逐条表现'!$D$7:$D$196,"铜")/H65)</x:f>
        <x:v>0.0036222041112017322</x:v>
      </x:c>
      <x:c r="W65" s="16" t="n">
        <x:f>C65-K65-N65</x:f>
        <x:v>0</x:v>
      </x:c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</x:row>
    <x:row r="66" ht="27" customHeight="1">
      <x:c r="A66" s="2" t="str">
        <x:v>铝 AL 苏冰</x:v>
      </x:c>
      <x:c r="B66" s="2" t="str">
        <x:v>15m</x:v>
      </x:c>
      <x:c r="C66" s="16" t="n">
        <x:f>COUNTIFS('逐条表现'!$F$7:$F$196,"苏冰",'逐条表现'!$G$7:$G$196,"15m",'逐条表现'!$D$7:$D$196,"铝")</x:f>
        <x:v>11</x:v>
      </x:c>
      <x:c r="D66" s="16" t="n">
        <x:f>COUNTIFS('逐条表现'!$F$7:$F$196,"苏冰",'逐条表现'!$G$7:$G$196,"15m",'逐条表现'!$D$7:$D$196,"铝",'逐条表现'!$N$7:$N$196,"&gt;0",'逐条表现'!$O$7:$O$196,"&gt;0")</x:f>
        <x:v>1</x:v>
      </x:c>
      <x:c r="E66" s="16" t="n">
        <x:f>COUNTIFS('逐条表现'!$F$7:$F$196,"苏冰",'逐条表现'!$G$7:$G$196,"15m",'逐条表现'!$D$7:$D$196,"铝",'逐条表现'!$N$7:$N$196,"&gt;0")</x:f>
        <x:v>3</x:v>
      </x:c>
      <x:c r="F66" s="17" t="n">
        <x:f>IF(E66=0,"",D66/E66)</x:f>
        <x:v>0.3333333333333333</x:v>
      </x:c>
      <x:c r="G66" s="16" t="n">
        <x:f>COUNTIFS('逐条表现'!$F$7:$F$196,"苏冰",'逐条表现'!$G$7:$G$196,"15m",'逐条表现'!$D$7:$D$196,"铝",'逐条表现'!$P$7:$P$196,"&gt;0",'逐条表现'!$Q$7:$Q$196,"&gt;0")</x:f>
        <x:v>1</x:v>
      </x:c>
      <x:c r="H66" s="16" t="n">
        <x:f>COUNTIFS('逐条表现'!$F$7:$F$196,"苏冰",'逐条表现'!$G$7:$G$196,"15m",'逐条表现'!$D$7:$D$196,"铝",'逐条表现'!$P$7:$P$196,"&gt;0")</x:f>
        <x:v>3</x:v>
      </x:c>
      <x:c r="I66" s="17" t="n">
        <x:f>IF(H66=0,"",G66/H66)</x:f>
        <x:v>0.3333333333333333</x:v>
      </x:c>
      <x:c r="J66" s="16" t="n">
        <x:f>COUNTIFS('逐条表现'!$F$7:$F$196,"苏冰",'逐条表现'!$G$7:$G$196,"15m",'逐条表现'!$D$7:$D$196,"铝",'逐条表现'!$R$7:$R$196,"&gt;0",'逐条表现'!$S$7:$S$196,"&gt;0")</x:f>
        <x:v>1</x:v>
      </x:c>
      <x:c r="K66" s="16" t="n">
        <x:f>COUNTIFS('逐条表现'!$F$7:$F$196,"苏冰",'逐条表现'!$G$7:$G$196,"15m",'逐条表现'!$D$7:$D$196,"铝",'逐条表现'!$R$7:$R$196,"&gt;0")</x:f>
        <x:v>3</x:v>
      </x:c>
      <x:c r="L66" s="17" t="n">
        <x:f>IF(K66=0,"",J66/K66)</x:f>
        <x:v>0.3333333333333333</x:v>
      </x:c>
      <x:c r="M66" s="5" t="n">
        <x:f>IF(K66=0,"",SUMIFS('逐条表现'!$S$7:$S$196,'逐条表现'!$F$7:$F$196,"苏冰",'逐条表现'!$G$7:$G$196,"15m",'逐条表现'!$D$7:$D$196,"铝")/K66)</x:f>
        <x:v>-0.001976802146094414</x:v>
      </x:c>
      <x:c r="N66" s="16" t="n">
        <x:f>C66-K66-COUNTIFS('逐条表现'!$F$7:$F$196,"苏冰",'逐条表现'!$G$7:$G$196,"15m",'逐条表现'!$D$7:$D$196,"铝",'逐条表现'!$AK$7:$AK$196,"待观察")</x:f>
        <x:v>8</x:v>
      </x:c>
      <x:c r="O66" s="16" t="n">
        <x:f>COUNTIFS('逐条表现'!$F$7:$F$196,"苏冰",'逐条表现'!$G$7:$G$196,"15m",'逐条表现'!$D$7:$D$196,"铝",'逐条表现'!$N$7:$N$196,"&gt;0",'逐条表现'!$O$7:$O$196,"&lt;0")</x:f>
        <x:v>2</x:v>
      </x:c>
      <x:c r="P66" s="16" t="n">
        <x:f>COUNTIFS('逐条表现'!$F$7:$F$196,"苏冰",'逐条表现'!$G$7:$G$196,"15m",'逐条表现'!$D$7:$D$196,"铝",'逐条表现'!$N$7:$N$196,"&gt;0",'逐条表现'!$O$7:$O$196,"=0")</x:f>
        <x:v>0</x:v>
      </x:c>
      <x:c r="Q66" s="16" t="n">
        <x:f>COUNTIFS('逐条表现'!$F$7:$F$196,"苏冰",'逐条表现'!$G$7:$G$196,"15m",'逐条表现'!$D$7:$D$196,"铝",'逐条表现'!$P$7:$P$196,"&gt;0",'逐条表现'!$Q$7:$Q$196,"&lt;0")</x:f>
        <x:v>2</x:v>
      </x:c>
      <x:c r="R66" s="16" t="n">
        <x:f>COUNTIFS('逐条表现'!$F$7:$F$196,"苏冰",'逐条表现'!$G$7:$G$196,"15m",'逐条表现'!$D$7:$D$196,"铝",'逐条表现'!$P$7:$P$196,"&gt;0",'逐条表现'!$Q$7:$Q$196,"=0")</x:f>
        <x:v>0</x:v>
      </x:c>
      <x:c r="S66" s="16" t="n">
        <x:f>COUNTIFS('逐条表现'!$F$7:$F$196,"苏冰",'逐条表现'!$G$7:$G$196,"15m",'逐条表现'!$D$7:$D$196,"铝",'逐条表现'!$R$7:$R$196,"&gt;0",'逐条表现'!$S$7:$S$196,"&lt;0")</x:f>
        <x:v>2</x:v>
      </x:c>
      <x:c r="T66" s="16" t="n">
        <x:f>COUNTIFS('逐条表现'!$F$7:$F$196,"苏冰",'逐条表现'!$G$7:$G$196,"15m",'逐条表现'!$D$7:$D$196,"铝",'逐条表现'!$R$7:$R$196,"&gt;0",'逐条表现'!$S$7:$S$196,"=0")</x:f>
        <x:v>0</x:v>
      </x:c>
      <x:c r="U66" s="5" t="n">
        <x:f>IF(E66=0,"",SUMIFS('逐条表现'!$O$7:$O$196,'逐条表现'!$F$7:$F$196,"苏冰",'逐条表现'!$G$7:$G$196,"15m",'逐条表现'!$D$7:$D$196,"铝")/E66)</x:f>
        <x:v>-0.0006820612719869631</x:v>
      </x:c>
      <x:c r="V66" s="5" t="n">
        <x:f>IF(H66=0,"",SUMIFS('逐条表现'!$Q$7:$Q$196,'逐条表现'!$F$7:$F$196,"苏冰",'逐条表现'!$G$7:$G$196,"15m",'逐条表现'!$D$7:$D$196,"铝")/H66)</x:f>
        <x:v>-0.0016363988134804701</x:v>
      </x:c>
      <x:c r="W66" s="16" t="n">
        <x:f>C66-K66-N66</x:f>
        <x:v>0</x:v>
      </x:c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</x:row>
    <x:row r="67" ht="27" customHeight="1">
      <x:c r="A67" s="2" t="str">
        <x:v>锌 ZN 苏冰</x:v>
      </x:c>
      <x:c r="B67" s="2" t="str">
        <x:v>15m</x:v>
      </x:c>
      <x:c r="C67" s="16" t="n">
        <x:f>COUNTIFS('逐条表现'!$F$7:$F$196,"苏冰",'逐条表现'!$G$7:$G$196,"15m",'逐条表现'!$D$7:$D$196,"锌")</x:f>
        <x:v>2</x:v>
      </x:c>
      <x:c r="D67" s="16" t="n">
        <x:f>COUNTIFS('逐条表现'!$F$7:$F$196,"苏冰",'逐条表现'!$G$7:$G$196,"15m",'逐条表现'!$D$7:$D$196,"锌",'逐条表现'!$N$7:$N$196,"&gt;0",'逐条表现'!$O$7:$O$196,"&gt;0")</x:f>
        <x:v>1</x:v>
      </x:c>
      <x:c r="E67" s="16" t="n">
        <x:f>COUNTIFS('逐条表现'!$F$7:$F$196,"苏冰",'逐条表现'!$G$7:$G$196,"15m",'逐条表现'!$D$7:$D$196,"锌",'逐条表现'!$N$7:$N$196,"&gt;0")</x:f>
        <x:v>1</x:v>
      </x:c>
      <x:c r="F67" s="17" t="n">
        <x:f>IF(E67=0,"",D67/E67)</x:f>
        <x:v>1</x:v>
      </x:c>
      <x:c r="G67" s="16" t="n">
        <x:f>COUNTIFS('逐条表现'!$F$7:$F$196,"苏冰",'逐条表现'!$G$7:$G$196,"15m",'逐条表现'!$D$7:$D$196,"锌",'逐条表现'!$P$7:$P$196,"&gt;0",'逐条表现'!$Q$7:$Q$196,"&gt;0")</x:f>
        <x:v>1</x:v>
      </x:c>
      <x:c r="H67" s="16" t="n">
        <x:f>COUNTIFS('逐条表现'!$F$7:$F$196,"苏冰",'逐条表现'!$G$7:$G$196,"15m",'逐条表现'!$D$7:$D$196,"锌",'逐条表现'!$P$7:$P$196,"&gt;0")</x:f>
        <x:v>1</x:v>
      </x:c>
      <x:c r="I67" s="17" t="n">
        <x:f>IF(H67=0,"",G67/H67)</x:f>
        <x:v>1</x:v>
      </x:c>
      <x:c r="J67" s="16" t="n">
        <x:f>COUNTIFS('逐条表现'!$F$7:$F$196,"苏冰",'逐条表现'!$G$7:$G$196,"15m",'逐条表现'!$D$7:$D$196,"锌",'逐条表现'!$R$7:$R$196,"&gt;0",'逐条表现'!$S$7:$S$196,"&gt;0")</x:f>
        <x:v>1</x:v>
      </x:c>
      <x:c r="K67" s="16" t="n">
        <x:f>COUNTIFS('逐条表现'!$F$7:$F$196,"苏冰",'逐条表现'!$G$7:$G$196,"15m",'逐条表现'!$D$7:$D$196,"锌",'逐条表现'!$R$7:$R$196,"&gt;0")</x:f>
        <x:v>1</x:v>
      </x:c>
      <x:c r="L67" s="17" t="n">
        <x:f>IF(K67=0,"",J67/K67)</x:f>
        <x:v>1</x:v>
      </x:c>
      <x:c r="M67" s="5" t="n">
        <x:f>IF(K67=0,"",SUMIFS('逐条表现'!$S$7:$S$196,'逐条表现'!$F$7:$F$196,"苏冰",'逐条表现'!$G$7:$G$196,"15m",'逐条表现'!$D$7:$D$196,"锌")/K67)</x:f>
        <x:v>0.0034551736679395706</x:v>
      </x:c>
      <x:c r="N67" s="16" t="n">
        <x:f>C67-K67-COUNTIFS('逐条表现'!$F$7:$F$196,"苏冰",'逐条表现'!$G$7:$G$196,"15m",'逐条表现'!$D$7:$D$196,"锌",'逐条表现'!$AK$7:$AK$196,"待观察")</x:f>
        <x:v>1</x:v>
      </x:c>
      <x:c r="O67" s="16" t="n">
        <x:f>COUNTIFS('逐条表现'!$F$7:$F$196,"苏冰",'逐条表现'!$G$7:$G$196,"15m",'逐条表现'!$D$7:$D$196,"锌",'逐条表现'!$N$7:$N$196,"&gt;0",'逐条表现'!$O$7:$O$196,"&lt;0")</x:f>
        <x:v>0</x:v>
      </x:c>
      <x:c r="P67" s="16" t="n">
        <x:f>COUNTIFS('逐条表现'!$F$7:$F$196,"苏冰",'逐条表现'!$G$7:$G$196,"15m",'逐条表现'!$D$7:$D$196,"锌",'逐条表现'!$N$7:$N$196,"&gt;0",'逐条表现'!$O$7:$O$196,"=0")</x:f>
        <x:v>0</x:v>
      </x:c>
      <x:c r="Q67" s="16" t="n">
        <x:f>COUNTIFS('逐条表现'!$F$7:$F$196,"苏冰",'逐条表现'!$G$7:$G$196,"15m",'逐条表现'!$D$7:$D$196,"锌",'逐条表现'!$P$7:$P$196,"&gt;0",'逐条表现'!$Q$7:$Q$196,"&lt;0")</x:f>
        <x:v>0</x:v>
      </x:c>
      <x:c r="R67" s="16" t="n">
        <x:f>COUNTIFS('逐条表现'!$F$7:$F$196,"苏冰",'逐条表现'!$G$7:$G$196,"15m",'逐条表现'!$D$7:$D$196,"锌",'逐条表现'!$P$7:$P$196,"&gt;0",'逐条表现'!$Q$7:$Q$196,"=0")</x:f>
        <x:v>0</x:v>
      </x:c>
      <x:c r="S67" s="16" t="n">
        <x:f>COUNTIFS('逐条表现'!$F$7:$F$196,"苏冰",'逐条表现'!$G$7:$G$196,"15m",'逐条表现'!$D$7:$D$196,"锌",'逐条表现'!$R$7:$R$196,"&gt;0",'逐条表现'!$S$7:$S$196,"&lt;0")</x:f>
        <x:v>0</x:v>
      </x:c>
      <x:c r="T67" s="16" t="n">
        <x:f>COUNTIFS('逐条表现'!$F$7:$F$196,"苏冰",'逐条表现'!$G$7:$G$196,"15m",'逐条表现'!$D$7:$D$196,"锌",'逐条表现'!$R$7:$R$196,"&gt;0",'逐条表现'!$S$7:$S$196,"=0")</x:f>
        <x:v>0</x:v>
      </x:c>
      <x:c r="U67" s="5" t="n">
        <x:f>IF(E67=0,"",SUMIFS('逐条表现'!$O$7:$O$196,'逐条表现'!$F$7:$F$196,"苏冰",'逐条表现'!$G$7:$G$196,"15m",'逐条表现'!$D$7:$D$196,"锌")/E67)</x:f>
        <x:v>0.005091834879068946</x:v>
      </x:c>
      <x:c r="V67" s="5" t="n">
        <x:f>IF(H67=0,"",SUMIFS('逐条表现'!$Q$7:$Q$196,'逐条表现'!$F$7:$F$196,"苏冰",'逐条表现'!$G$7:$G$196,"15m",'逐条表现'!$D$7:$D$196,"锌")/H67)</x:f>
        <x:v>0.004728132387706863</x:v>
      </x:c>
      <x:c r="W67" s="16" t="n">
        <x:f>C67-K67-N67</x:f>
        <x:v>0</x:v>
      </x:c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</x:row>
    <x:row r="68" ht="27" customHeight="1">
      <x:c r="A68" s="2" t="str">
        <x:v>锡 SN 苏冰</x:v>
      </x:c>
      <x:c r="B68" s="2" t="str">
        <x:v>15m</x:v>
      </x:c>
      <x:c r="C68" s="16" t="n">
        <x:f>COUNTIFS('逐条表现'!$F$7:$F$196,"苏冰",'逐条表现'!$G$7:$G$196,"15m",'逐条表现'!$D$7:$D$196,"锡")</x:f>
        <x:v>4</x:v>
      </x:c>
      <x:c r="D68" s="16" t="n">
        <x:f>COUNTIFS('逐条表现'!$F$7:$F$196,"苏冰",'逐条表现'!$G$7:$G$196,"15m",'逐条表现'!$D$7:$D$196,"锡",'逐条表现'!$N$7:$N$196,"&gt;0",'逐条表现'!$O$7:$O$196,"&gt;0")</x:f>
        <x:v>2</x:v>
      </x:c>
      <x:c r="E68" s="16" t="n">
        <x:f>COUNTIFS('逐条表现'!$F$7:$F$196,"苏冰",'逐条表现'!$G$7:$G$196,"15m",'逐条表现'!$D$7:$D$196,"锡",'逐条表现'!$N$7:$N$196,"&gt;0")</x:f>
        <x:v>2</x:v>
      </x:c>
      <x:c r="F68" s="17" t="n">
        <x:f>IF(E68=0,"",D68/E68)</x:f>
        <x:v>1</x:v>
      </x:c>
      <x:c r="G68" s="16" t="n">
        <x:f>COUNTIFS('逐条表现'!$F$7:$F$196,"苏冰",'逐条表现'!$G$7:$G$196,"15m",'逐条表现'!$D$7:$D$196,"锡",'逐条表现'!$P$7:$P$196,"&gt;0",'逐条表现'!$Q$7:$Q$196,"&gt;0")</x:f>
        <x:v>2</x:v>
      </x:c>
      <x:c r="H68" s="16" t="n">
        <x:f>COUNTIFS('逐条表现'!$F$7:$F$196,"苏冰",'逐条表现'!$G$7:$G$196,"15m",'逐条表现'!$D$7:$D$196,"锡",'逐条表现'!$P$7:$P$196,"&gt;0")</x:f>
        <x:v>2</x:v>
      </x:c>
      <x:c r="I68" s="17" t="n">
        <x:f>IF(H68=0,"",G68/H68)</x:f>
        <x:v>1</x:v>
      </x:c>
      <x:c r="J68" s="16" t="n">
        <x:f>COUNTIFS('逐条表现'!$F$7:$F$196,"苏冰",'逐条表现'!$G$7:$G$196,"15m",'逐条表现'!$D$7:$D$196,"锡",'逐条表现'!$R$7:$R$196,"&gt;0",'逐条表现'!$S$7:$S$196,"&gt;0")</x:f>
        <x:v>1</x:v>
      </x:c>
      <x:c r="K68" s="16" t="n">
        <x:f>COUNTIFS('逐条表现'!$F$7:$F$196,"苏冰",'逐条表现'!$G$7:$G$196,"15m",'逐条表现'!$D$7:$D$196,"锡",'逐条表现'!$R$7:$R$196,"&gt;0")</x:f>
        <x:v>2</x:v>
      </x:c>
      <x:c r="L68" s="17" t="n">
        <x:f>IF(K68=0,"",J68/K68)</x:f>
        <x:v>0.5</x:v>
      </x:c>
      <x:c r="M68" s="5" t="n">
        <x:f>IF(K68=0,"",SUMIFS('逐条表现'!$S$7:$S$196,'逐条表现'!$F$7:$F$196,"苏冰",'逐条表现'!$G$7:$G$196,"15m",'逐条表现'!$D$7:$D$196,"锡")/K68)</x:f>
        <x:v>-0.0016673763289713484</x:v>
      </x:c>
      <x:c r="N68" s="16" t="n">
        <x:f>C68-K68-COUNTIFS('逐条表现'!$F$7:$F$196,"苏冰",'逐条表现'!$G$7:$G$196,"15m",'逐条表现'!$D$7:$D$196,"锡",'逐条表现'!$AK$7:$AK$196,"待观察")</x:f>
        <x:v>2</x:v>
      </x:c>
      <x:c r="O68" s="16" t="n">
        <x:f>COUNTIFS('逐条表现'!$F$7:$F$196,"苏冰",'逐条表现'!$G$7:$G$196,"15m",'逐条表现'!$D$7:$D$196,"锡",'逐条表现'!$N$7:$N$196,"&gt;0",'逐条表现'!$O$7:$O$196,"&lt;0")</x:f>
        <x:v>0</x:v>
      </x:c>
      <x:c r="P68" s="16" t="n">
        <x:f>COUNTIFS('逐条表现'!$F$7:$F$196,"苏冰",'逐条表现'!$G$7:$G$196,"15m",'逐条表现'!$D$7:$D$196,"锡",'逐条表现'!$N$7:$N$196,"&gt;0",'逐条表现'!$O$7:$O$196,"=0")</x:f>
        <x:v>0</x:v>
      </x:c>
      <x:c r="Q68" s="16" t="n">
        <x:f>COUNTIFS('逐条表现'!$F$7:$F$196,"苏冰",'逐条表现'!$G$7:$G$196,"15m",'逐条表现'!$D$7:$D$196,"锡",'逐条表现'!$P$7:$P$196,"&gt;0",'逐条表现'!$Q$7:$Q$196,"&lt;0")</x:f>
        <x:v>0</x:v>
      </x:c>
      <x:c r="R68" s="16" t="n">
        <x:f>COUNTIFS('逐条表现'!$F$7:$F$196,"苏冰",'逐条表现'!$G$7:$G$196,"15m",'逐条表现'!$D$7:$D$196,"锡",'逐条表现'!$P$7:$P$196,"&gt;0",'逐条表现'!$Q$7:$Q$196,"=0")</x:f>
        <x:v>0</x:v>
      </x:c>
      <x:c r="S68" s="16" t="n">
        <x:f>COUNTIFS('逐条表现'!$F$7:$F$196,"苏冰",'逐条表现'!$G$7:$G$196,"15m",'逐条表现'!$D$7:$D$196,"锡",'逐条表现'!$R$7:$R$196,"&gt;0",'逐条表现'!$S$7:$S$196,"&lt;0")</x:f>
        <x:v>1</x:v>
      </x:c>
      <x:c r="T68" s="16" t="n">
        <x:f>COUNTIFS('逐条表现'!$F$7:$F$196,"苏冰",'逐条表现'!$G$7:$G$196,"15m",'逐条表现'!$D$7:$D$196,"锡",'逐条表现'!$R$7:$R$196,"&gt;0",'逐条表现'!$S$7:$S$196,"=0")</x:f>
        <x:v>0</x:v>
      </x:c>
      <x:c r="U68" s="5" t="n">
        <x:f>IF(E68=0,"",SUMIFS('逐条表现'!$O$7:$O$196,'逐条表现'!$F$7:$F$196,"苏冰",'逐条表现'!$G$7:$G$196,"15m",'逐条表现'!$D$7:$D$196,"锡")/E68)</x:f>
        <x:v>0.0011567321895680216</x:v>
      </x:c>
      <x:c r="V68" s="5" t="n">
        <x:f>IF(H68=0,"",SUMIFS('逐条表现'!$Q$7:$Q$196,'逐条表现'!$F$7:$F$196,"苏冰",'逐条表现'!$G$7:$G$196,"15m",'逐条表现'!$D$7:$D$196,"锡")/H68)</x:f>
        <x:v>0.0011443570571116335</x:v>
      </x:c>
      <x:c r="W68" s="16" t="n">
        <x:f>C68-K68-N68</x:f>
        <x:v>0</x:v>
      </x:c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</x:row>
    <x:row r="69" ht="27" customHeight="1">
      <x:c r="A69" s="2" t="str">
        <x:v>锰硅 SM 苏冰</x:v>
      </x:c>
      <x:c r="B69" s="2" t="str">
        <x:v>15m</x:v>
      </x:c>
      <x:c r="C69" s="16" t="n">
        <x:f>COUNTIFS('逐条表现'!$F$7:$F$196,"苏冰",'逐条表现'!$G$7:$G$196,"15m",'逐条表现'!$D$7:$D$196,"锰硅")</x:f>
        <x:v>1</x:v>
      </x:c>
      <x:c r="D69" s="16" t="n">
        <x:f>COUNTIFS('逐条表现'!$F$7:$F$196,"苏冰",'逐条表现'!$G$7:$G$196,"15m",'逐条表现'!$D$7:$D$196,"锰硅",'逐条表现'!$N$7:$N$196,"&gt;0",'逐条表现'!$O$7:$O$196,"&gt;0")</x:f>
        <x:v>0</x:v>
      </x:c>
      <x:c r="E69" s="16" t="n">
        <x:f>COUNTIFS('逐条表现'!$F$7:$F$196,"苏冰",'逐条表现'!$G$7:$G$196,"15m",'逐条表现'!$D$7:$D$196,"锰硅",'逐条表现'!$N$7:$N$196,"&gt;0")</x:f>
        <x:v>0</x:v>
      </x:c>
      <x:c r="F69" s="17" t="str">
        <x:f>IF(E69=0,"",D69/E69)</x:f>
      </x:c>
      <x:c r="G69" s="16" t="n">
        <x:f>COUNTIFS('逐条表现'!$F$7:$F$196,"苏冰",'逐条表现'!$G$7:$G$196,"15m",'逐条表现'!$D$7:$D$196,"锰硅",'逐条表现'!$P$7:$P$196,"&gt;0",'逐条表现'!$Q$7:$Q$196,"&gt;0")</x:f>
        <x:v>0</x:v>
      </x:c>
      <x:c r="H69" s="16" t="n">
        <x:f>COUNTIFS('逐条表现'!$F$7:$F$196,"苏冰",'逐条表现'!$G$7:$G$196,"15m",'逐条表现'!$D$7:$D$196,"锰硅",'逐条表现'!$P$7:$P$196,"&gt;0")</x:f>
        <x:v>0</x:v>
      </x:c>
      <x:c r="I69" s="17" t="str">
        <x:f>IF(H69=0,"",G69/H69)</x:f>
      </x:c>
      <x:c r="J69" s="16" t="n">
        <x:f>COUNTIFS('逐条表现'!$F$7:$F$196,"苏冰",'逐条表现'!$G$7:$G$196,"15m",'逐条表现'!$D$7:$D$196,"锰硅",'逐条表现'!$R$7:$R$196,"&gt;0",'逐条表现'!$S$7:$S$196,"&gt;0")</x:f>
        <x:v>0</x:v>
      </x:c>
      <x:c r="K69" s="16" t="n">
        <x:f>COUNTIFS('逐条表现'!$F$7:$F$196,"苏冰",'逐条表现'!$G$7:$G$196,"15m",'逐条表现'!$D$7:$D$196,"锰硅",'逐条表现'!$R$7:$R$196,"&gt;0")</x:f>
        <x:v>0</x:v>
      </x:c>
      <x:c r="L69" s="17" t="str">
        <x:f>IF(K69=0,"",J69/K69)</x:f>
      </x:c>
      <x:c r="M69" s="5" t="str">
        <x:f>IF(K69=0,"",SUMIFS('逐条表现'!$S$7:$S$196,'逐条表现'!$F$7:$F$196,"苏冰",'逐条表现'!$G$7:$G$196,"15m",'逐条表现'!$D$7:$D$196,"锰硅")/K69)</x:f>
      </x:c>
      <x:c r="N69" s="16" t="n">
        <x:f>C69-K69-COUNTIFS('逐条表现'!$F$7:$F$196,"苏冰",'逐条表现'!$G$7:$G$196,"15m",'逐条表现'!$D$7:$D$196,"锰硅",'逐条表现'!$AK$7:$AK$196,"待观察")</x:f>
        <x:v>1</x:v>
      </x:c>
      <x:c r="O69" s="16" t="n">
        <x:f>COUNTIFS('逐条表现'!$F$7:$F$196,"苏冰",'逐条表现'!$G$7:$G$196,"15m",'逐条表现'!$D$7:$D$196,"锰硅",'逐条表现'!$N$7:$N$196,"&gt;0",'逐条表现'!$O$7:$O$196,"&lt;0")</x:f>
        <x:v>0</x:v>
      </x:c>
      <x:c r="P69" s="16" t="n">
        <x:f>COUNTIFS('逐条表现'!$F$7:$F$196,"苏冰",'逐条表现'!$G$7:$G$196,"15m",'逐条表现'!$D$7:$D$196,"锰硅",'逐条表现'!$N$7:$N$196,"&gt;0",'逐条表现'!$O$7:$O$196,"=0")</x:f>
        <x:v>0</x:v>
      </x:c>
      <x:c r="Q69" s="16" t="n">
        <x:f>COUNTIFS('逐条表现'!$F$7:$F$196,"苏冰",'逐条表现'!$G$7:$G$196,"15m",'逐条表现'!$D$7:$D$196,"锰硅",'逐条表现'!$P$7:$P$196,"&gt;0",'逐条表现'!$Q$7:$Q$196,"&lt;0")</x:f>
        <x:v>0</x:v>
      </x:c>
      <x:c r="R69" s="16" t="n">
        <x:f>COUNTIFS('逐条表现'!$F$7:$F$196,"苏冰",'逐条表现'!$G$7:$G$196,"15m",'逐条表现'!$D$7:$D$196,"锰硅",'逐条表现'!$P$7:$P$196,"&gt;0",'逐条表现'!$Q$7:$Q$196,"=0")</x:f>
        <x:v>0</x:v>
      </x:c>
      <x:c r="S69" s="16" t="n">
        <x:f>COUNTIFS('逐条表现'!$F$7:$F$196,"苏冰",'逐条表现'!$G$7:$G$196,"15m",'逐条表现'!$D$7:$D$196,"锰硅",'逐条表现'!$R$7:$R$196,"&gt;0",'逐条表现'!$S$7:$S$196,"&lt;0")</x:f>
        <x:v>0</x:v>
      </x:c>
      <x:c r="T69" s="16" t="n">
        <x:f>COUNTIFS('逐条表现'!$F$7:$F$196,"苏冰",'逐条表现'!$G$7:$G$196,"15m",'逐条表现'!$D$7:$D$196,"锰硅",'逐条表现'!$R$7:$R$196,"&gt;0",'逐条表现'!$S$7:$S$196,"=0")</x:f>
        <x:v>0</x:v>
      </x:c>
      <x:c r="U69" s="5" t="str">
        <x:f>IF(E69=0,"",SUMIFS('逐条表现'!$O$7:$O$196,'逐条表现'!$F$7:$F$196,"苏冰",'逐条表现'!$G$7:$G$196,"15m",'逐条表现'!$D$7:$D$196,"锰硅")/E69)</x:f>
      </x:c>
      <x:c r="V69" s="5" t="str">
        <x:f>IF(H69=0,"",SUMIFS('逐条表现'!$Q$7:$Q$196,'逐条表现'!$F$7:$F$196,"苏冰",'逐条表现'!$G$7:$G$196,"15m",'逐条表现'!$D$7:$D$196,"锰硅")/H69)</x:f>
      </x:c>
      <x:c r="W69" s="16" t="n">
        <x:f>C69-K69-N69</x:f>
        <x:v>0</x:v>
      </x:c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</x:row>
    <x:row r="70" ht="27" customHeight="1">
      <x:c r="A70" s="2" t="str">
        <x:v>镍 NI 苏冰</x:v>
      </x:c>
      <x:c r="B70" s="2" t="str">
        <x:v>15m</x:v>
      </x:c>
      <x:c r="C70" s="16" t="n">
        <x:f>COUNTIFS('逐条表现'!$F$7:$F$196,"苏冰",'逐条表现'!$G$7:$G$196,"15m",'逐条表现'!$D$7:$D$196,"镍")</x:f>
        <x:v>2</x:v>
      </x:c>
      <x:c r="D70" s="16" t="n">
        <x:f>COUNTIFS('逐条表现'!$F$7:$F$196,"苏冰",'逐条表现'!$G$7:$G$196,"15m",'逐条表现'!$D$7:$D$196,"镍",'逐条表现'!$N$7:$N$196,"&gt;0",'逐条表现'!$O$7:$O$196,"&gt;0")</x:f>
        <x:v>1</x:v>
      </x:c>
      <x:c r="E70" s="16" t="n">
        <x:f>COUNTIFS('逐条表现'!$F$7:$F$196,"苏冰",'逐条表现'!$G$7:$G$196,"15m",'逐条表现'!$D$7:$D$196,"镍",'逐条表现'!$N$7:$N$196,"&gt;0")</x:f>
        <x:v>1</x:v>
      </x:c>
      <x:c r="F70" s="17" t="n">
        <x:f>IF(E70=0,"",D70/E70)</x:f>
        <x:v>1</x:v>
      </x:c>
      <x:c r="G70" s="16" t="n">
        <x:f>COUNTIFS('逐条表现'!$F$7:$F$196,"苏冰",'逐条表现'!$G$7:$G$196,"15m",'逐条表现'!$D$7:$D$196,"镍",'逐条表现'!$P$7:$P$196,"&gt;0",'逐条表现'!$Q$7:$Q$196,"&gt;0")</x:f>
        <x:v>0</x:v>
      </x:c>
      <x:c r="H70" s="16" t="n">
        <x:f>COUNTIFS('逐条表现'!$F$7:$F$196,"苏冰",'逐条表现'!$G$7:$G$196,"15m",'逐条表现'!$D$7:$D$196,"镍",'逐条表现'!$P$7:$P$196,"&gt;0")</x:f>
        <x:v>1</x:v>
      </x:c>
      <x:c r="I70" s="17" t="n">
        <x:f>IF(H70=0,"",G70/H70)</x:f>
        <x:v>0</x:v>
      </x:c>
      <x:c r="J70" s="16" t="n">
        <x:f>COUNTIFS('逐条表现'!$F$7:$F$196,"苏冰",'逐条表现'!$G$7:$G$196,"15m",'逐条表现'!$D$7:$D$196,"镍",'逐条表现'!$R$7:$R$196,"&gt;0",'逐条表现'!$S$7:$S$196,"&gt;0")</x:f>
        <x:v>0</x:v>
      </x:c>
      <x:c r="K70" s="16" t="n">
        <x:f>COUNTIFS('逐条表现'!$F$7:$F$196,"苏冰",'逐条表现'!$G$7:$G$196,"15m",'逐条表现'!$D$7:$D$196,"镍",'逐条表现'!$R$7:$R$196,"&gt;0")</x:f>
        <x:v>1</x:v>
      </x:c>
      <x:c r="L70" s="17" t="n">
        <x:f>IF(K70=0,"",J70/K70)</x:f>
        <x:v>0</x:v>
      </x:c>
      <x:c r="M70" s="5" t="n">
        <x:f>IF(K70=0,"",SUMIFS('逐条表现'!$S$7:$S$196,'逐条表现'!$F$7:$F$196,"苏冰",'逐条表现'!$G$7:$G$196,"15m",'逐条表现'!$D$7:$D$196,"镍")/K70)</x:f>
        <x:v>-0.001970676336118471</x:v>
      </x:c>
      <x:c r="N70" s="16" t="n">
        <x:f>C70-K70-COUNTIFS('逐条表现'!$F$7:$F$196,"苏冰",'逐条表现'!$G$7:$G$196,"15m",'逐条表现'!$D$7:$D$196,"镍",'逐条表现'!$AK$7:$AK$196,"待观察")</x:f>
        <x:v>1</x:v>
      </x:c>
      <x:c r="O70" s="16" t="n">
        <x:f>COUNTIFS('逐条表现'!$F$7:$F$196,"苏冰",'逐条表现'!$G$7:$G$196,"15m",'逐条表现'!$D$7:$D$196,"镍",'逐条表现'!$N$7:$N$196,"&gt;0",'逐条表现'!$O$7:$O$196,"&lt;0")</x:f>
        <x:v>0</x:v>
      </x:c>
      <x:c r="P70" s="16" t="n">
        <x:f>COUNTIFS('逐条表现'!$F$7:$F$196,"苏冰",'逐条表现'!$G$7:$G$196,"15m",'逐条表现'!$D$7:$D$196,"镍",'逐条表现'!$N$7:$N$196,"&gt;0",'逐条表现'!$O$7:$O$196,"=0")</x:f>
        <x:v>0</x:v>
      </x:c>
      <x:c r="Q70" s="16" t="n">
        <x:f>COUNTIFS('逐条表现'!$F$7:$F$196,"苏冰",'逐条表现'!$G$7:$G$196,"15m",'逐条表现'!$D$7:$D$196,"镍",'逐条表现'!$P$7:$P$196,"&gt;0",'逐条表现'!$Q$7:$Q$196,"&lt;0")</x:f>
        <x:v>1</x:v>
      </x:c>
      <x:c r="R70" s="16" t="n">
        <x:f>COUNTIFS('逐条表现'!$F$7:$F$196,"苏冰",'逐条表现'!$G$7:$G$196,"15m",'逐条表现'!$D$7:$D$196,"镍",'逐条表现'!$P$7:$P$196,"&gt;0",'逐条表现'!$Q$7:$Q$196,"=0")</x:f>
        <x:v>0</x:v>
      </x:c>
      <x:c r="S70" s="16" t="n">
        <x:f>COUNTIFS('逐条表现'!$F$7:$F$196,"苏冰",'逐条表现'!$G$7:$G$196,"15m",'逐条表现'!$D$7:$D$196,"镍",'逐条表现'!$R$7:$R$196,"&gt;0",'逐条表现'!$S$7:$S$196,"&lt;0")</x:f>
        <x:v>1</x:v>
      </x:c>
      <x:c r="T70" s="16" t="n">
        <x:f>COUNTIFS('逐条表现'!$F$7:$F$196,"苏冰",'逐条表现'!$G$7:$G$196,"15m",'逐条表现'!$D$7:$D$196,"镍",'逐条表现'!$R$7:$R$196,"&gt;0",'逐条表现'!$S$7:$S$196,"=0")</x:f>
        <x:v>0</x:v>
      </x:c>
      <x:c r="U70" s="5" t="n">
        <x:f>IF(E70=0,"",SUMIFS('逐条表现'!$O$7:$O$196,'逐条表现'!$F$7:$F$196,"苏冰",'逐条表现'!$G$7:$G$196,"15m",'逐条表现'!$D$7:$D$196,"镍")/E70)</x:f>
        <x:v>0.0012612328551159235</x:v>
      </x:c>
      <x:c r="V70" s="5" t="n">
        <x:f>IF(H70=0,"",SUMIFS('逐条表现'!$Q$7:$Q$196,'逐条表现'!$F$7:$F$196,"苏冰",'逐条表现'!$G$7:$G$196,"15m",'逐条表现'!$D$7:$D$196,"镍")/H70)</x:f>
        <x:v>-0.0009459246413368039</x:v>
      </x:c>
      <x:c r="W70" s="16" t="n">
        <x:f>C70-K70-N70</x:f>
        <x:v>0</x:v>
      </x:c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</x:row>
    <x:row r="71" ht="27" customHeight="1">
      <x:c r="A71" s="2" t="str">
        <x:v>集运欧线 EC 苏冰</x:v>
      </x:c>
      <x:c r="B71" s="2" t="str">
        <x:v>15m</x:v>
      </x:c>
      <x:c r="C71" s="16" t="n">
        <x:f>COUNTIFS('逐条表现'!$F$7:$F$196,"苏冰",'逐条表现'!$G$7:$G$196,"15m",'逐条表现'!$D$7:$D$196,"集运欧线")</x:f>
        <x:v>3</x:v>
      </x:c>
      <x:c r="D71" s="16" t="n">
        <x:f>COUNTIFS('逐条表现'!$F$7:$F$196,"苏冰",'逐条表现'!$G$7:$G$196,"15m",'逐条表现'!$D$7:$D$196,"集运欧线",'逐条表现'!$N$7:$N$196,"&gt;0",'逐条表现'!$O$7:$O$196,"&gt;0")</x:f>
        <x:v>1</x:v>
      </x:c>
      <x:c r="E71" s="16" t="n">
        <x:f>COUNTIFS('逐条表现'!$F$7:$F$196,"苏冰",'逐条表现'!$G$7:$G$196,"15m",'逐条表现'!$D$7:$D$196,"集运欧线",'逐条表现'!$N$7:$N$196,"&gt;0")</x:f>
        <x:v>1</x:v>
      </x:c>
      <x:c r="F71" s="17" t="n">
        <x:f>IF(E71=0,"",D71/E71)</x:f>
        <x:v>1</x:v>
      </x:c>
      <x:c r="G71" s="16" t="n">
        <x:f>COUNTIFS('逐条表现'!$F$7:$F$196,"苏冰",'逐条表现'!$G$7:$G$196,"15m",'逐条表现'!$D$7:$D$196,"集运欧线",'逐条表现'!$P$7:$P$196,"&gt;0",'逐条表现'!$Q$7:$Q$196,"&gt;0")</x:f>
        <x:v>1</x:v>
      </x:c>
      <x:c r="H71" s="16" t="n">
        <x:f>COUNTIFS('逐条表现'!$F$7:$F$196,"苏冰",'逐条表现'!$G$7:$G$196,"15m",'逐条表现'!$D$7:$D$196,"集运欧线",'逐条表现'!$P$7:$P$196,"&gt;0")</x:f>
        <x:v>1</x:v>
      </x:c>
      <x:c r="I71" s="17" t="n">
        <x:f>IF(H71=0,"",G71/H71)</x:f>
        <x:v>1</x:v>
      </x:c>
      <x:c r="J71" s="16" t="n">
        <x:f>COUNTIFS('逐条表现'!$F$7:$F$196,"苏冰",'逐条表现'!$G$7:$G$196,"15m",'逐条表现'!$D$7:$D$196,"集运欧线",'逐条表现'!$R$7:$R$196,"&gt;0",'逐条表现'!$S$7:$S$196,"&gt;0")</x:f>
        <x:v>1</x:v>
      </x:c>
      <x:c r="K71" s="16" t="n">
        <x:f>COUNTIFS('逐条表现'!$F$7:$F$196,"苏冰",'逐条表现'!$G$7:$G$196,"15m",'逐条表现'!$D$7:$D$196,"集运欧线",'逐条表现'!$R$7:$R$196,"&gt;0")</x:f>
        <x:v>1</x:v>
      </x:c>
      <x:c r="L71" s="17" t="n">
        <x:f>IF(K71=0,"",J71/K71)</x:f>
        <x:v>1</x:v>
      </x:c>
      <x:c r="M71" s="5" t="n">
        <x:f>IF(K71=0,"",SUMIFS('逐条表现'!$S$7:$S$196,'逐条表现'!$F$7:$F$196,"苏冰",'逐条表现'!$G$7:$G$196,"15m",'逐条表现'!$D$7:$D$196,"集运欧线")/K71)</x:f>
        <x:v>0.013123359580052396</x:v>
      </x:c>
      <x:c r="N71" s="16" t="n">
        <x:f>C71-K71-COUNTIFS('逐条表现'!$F$7:$F$196,"苏冰",'逐条表现'!$G$7:$G$196,"15m",'逐条表现'!$D$7:$D$196,"集运欧线",'逐条表现'!$AK$7:$AK$196,"待观察")</x:f>
        <x:v>2</x:v>
      </x:c>
      <x:c r="O71" s="16" t="n">
        <x:f>COUNTIFS('逐条表现'!$F$7:$F$196,"苏冰",'逐条表现'!$G$7:$G$196,"15m",'逐条表现'!$D$7:$D$196,"集运欧线",'逐条表现'!$N$7:$N$196,"&gt;0",'逐条表现'!$O$7:$O$196,"&lt;0")</x:f>
        <x:v>0</x:v>
      </x:c>
      <x:c r="P71" s="16" t="n">
        <x:f>COUNTIFS('逐条表现'!$F$7:$F$196,"苏冰",'逐条表现'!$G$7:$G$196,"15m",'逐条表现'!$D$7:$D$196,"集运欧线",'逐条表现'!$N$7:$N$196,"&gt;0",'逐条表现'!$O$7:$O$196,"=0")</x:f>
        <x:v>0</x:v>
      </x:c>
      <x:c r="Q71" s="16" t="n">
        <x:f>COUNTIFS('逐条表现'!$F$7:$F$196,"苏冰",'逐条表现'!$G$7:$G$196,"15m",'逐条表现'!$D$7:$D$196,"集运欧线",'逐条表现'!$P$7:$P$196,"&gt;0",'逐条表现'!$Q$7:$Q$196,"&lt;0")</x:f>
        <x:v>0</x:v>
      </x:c>
      <x:c r="R71" s="16" t="n">
        <x:f>COUNTIFS('逐条表现'!$F$7:$F$196,"苏冰",'逐条表现'!$G$7:$G$196,"15m",'逐条表现'!$D$7:$D$196,"集运欧线",'逐条表现'!$P$7:$P$196,"&gt;0",'逐条表现'!$Q$7:$Q$196,"=0")</x:f>
        <x:v>0</x:v>
      </x:c>
      <x:c r="S71" s="16" t="n">
        <x:f>COUNTIFS('逐条表现'!$F$7:$F$196,"苏冰",'逐条表现'!$G$7:$G$196,"15m",'逐条表现'!$D$7:$D$196,"集运欧线",'逐条表现'!$R$7:$R$196,"&gt;0",'逐条表现'!$S$7:$S$196,"&lt;0")</x:f>
        <x:v>0</x:v>
      </x:c>
      <x:c r="T71" s="16" t="n">
        <x:f>COUNTIFS('逐条表现'!$F$7:$F$196,"苏冰",'逐条表现'!$G$7:$G$196,"15m",'逐条表现'!$D$7:$D$196,"集运欧线",'逐条表现'!$R$7:$R$196,"&gt;0",'逐条表现'!$S$7:$S$196,"=0")</x:f>
        <x:v>0</x:v>
      </x:c>
      <x:c r="U71" s="5" t="n">
        <x:f>IF(E71=0,"",SUMIFS('逐条表现'!$O$7:$O$196,'逐条表现'!$F$7:$F$196,"苏冰",'逐条表现'!$G$7:$G$196,"15m",'逐条表现'!$D$7:$D$196,"集运欧线")/E71)</x:f>
        <x:v>0.005511811023622082</x:v>
      </x:c>
      <x:c r="V71" s="5" t="n">
        <x:f>IF(H71=0,"",SUMIFS('逐条表现'!$Q$7:$Q$196,'逐条表现'!$F$7:$F$196,"苏冰",'逐条表现'!$G$7:$G$196,"15m",'逐条表现'!$D$7:$D$196,"集运欧线")/H71)</x:f>
        <x:v>0.004199475065616909</x:v>
      </x:c>
      <x:c r="W71" s="16" t="n">
        <x:f>C71-K71-N71</x:f>
        <x:v>0</x:v>
      </x:c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</x:row>
    <x:row r="72" ht="27" customHeight="1">
      <x:c r="A72" s="2" t="str">
        <x:v>黄金 AU 苏冰</x:v>
      </x:c>
      <x:c r="B72" s="2" t="str">
        <x:v>15m</x:v>
      </x:c>
      <x:c r="C72" s="16" t="n">
        <x:f>COUNTIFS('逐条表现'!$F$7:$F$196,"苏冰",'逐条表现'!$G$7:$G$196,"15m",'逐条表现'!$D$7:$D$196,"黄金")</x:f>
        <x:v>6</x:v>
      </x:c>
      <x:c r="D72" s="16" t="n">
        <x:f>COUNTIFS('逐条表现'!$F$7:$F$196,"苏冰",'逐条表现'!$G$7:$G$196,"15m",'逐条表现'!$D$7:$D$196,"黄金",'逐条表现'!$N$7:$N$196,"&gt;0",'逐条表现'!$O$7:$O$196,"&gt;0")</x:f>
        <x:v>2</x:v>
      </x:c>
      <x:c r="E72" s="16" t="n">
        <x:f>COUNTIFS('逐条表现'!$F$7:$F$196,"苏冰",'逐条表现'!$G$7:$G$196,"15m",'逐条表现'!$D$7:$D$196,"黄金",'逐条表现'!$N$7:$N$196,"&gt;0")</x:f>
        <x:v>3</x:v>
      </x:c>
      <x:c r="F72" s="17" t="n">
        <x:f>IF(E72=0,"",D72/E72)</x:f>
        <x:v>0.6666666666666666</x:v>
      </x:c>
      <x:c r="G72" s="16" t="n">
        <x:f>COUNTIFS('逐条表现'!$F$7:$F$196,"苏冰",'逐条表现'!$G$7:$G$196,"15m",'逐条表现'!$D$7:$D$196,"黄金",'逐条表现'!$P$7:$P$196,"&gt;0",'逐条表现'!$Q$7:$Q$196,"&gt;0")</x:f>
        <x:v>2</x:v>
      </x:c>
      <x:c r="H72" s="16" t="n">
        <x:f>COUNTIFS('逐条表现'!$F$7:$F$196,"苏冰",'逐条表现'!$G$7:$G$196,"15m",'逐条表现'!$D$7:$D$196,"黄金",'逐条表现'!$P$7:$P$196,"&gt;0")</x:f>
        <x:v>3</x:v>
      </x:c>
      <x:c r="I72" s="17" t="n">
        <x:f>IF(H72=0,"",G72/H72)</x:f>
        <x:v>0.6666666666666666</x:v>
      </x:c>
      <x:c r="J72" s="16" t="n">
        <x:f>COUNTIFS('逐条表现'!$F$7:$F$196,"苏冰",'逐条表现'!$G$7:$G$196,"15m",'逐条表现'!$D$7:$D$196,"黄金",'逐条表现'!$R$7:$R$196,"&gt;0",'逐条表现'!$S$7:$S$196,"&gt;0")</x:f>
        <x:v>0</x:v>
      </x:c>
      <x:c r="K72" s="16" t="n">
        <x:f>COUNTIFS('逐条表现'!$F$7:$F$196,"苏冰",'逐条表现'!$G$7:$G$196,"15m",'逐条表现'!$D$7:$D$196,"黄金",'逐条表现'!$R$7:$R$196,"&gt;0")</x:f>
        <x:v>2</x:v>
      </x:c>
      <x:c r="L72" s="17" t="n">
        <x:f>IF(K72=0,"",J72/K72)</x:f>
        <x:v>0</x:v>
      </x:c>
      <x:c r="M72" s="5" t="n">
        <x:f>IF(K72=0,"",SUMIFS('逐条表现'!$S$7:$S$196,'逐条表现'!$F$7:$F$196,"苏冰",'逐条表现'!$G$7:$G$196,"15m",'逐条表现'!$D$7:$D$196,"黄金")/K72)</x:f>
        <x:v>-0.003772741976876104</x:v>
      </x:c>
      <x:c r="N72" s="16" t="n">
        <x:f>C72-K72-COUNTIFS('逐条表现'!$F$7:$F$196,"苏冰",'逐条表现'!$G$7:$G$196,"15m",'逐条表现'!$D$7:$D$196,"黄金",'逐条表现'!$AK$7:$AK$196,"待观察")</x:f>
        <x:v>4</x:v>
      </x:c>
      <x:c r="O72" s="16" t="n">
        <x:f>COUNTIFS('逐条表现'!$F$7:$F$196,"苏冰",'逐条表现'!$G$7:$G$196,"15m",'逐条表现'!$D$7:$D$196,"黄金",'逐条表现'!$N$7:$N$196,"&gt;0",'逐条表现'!$O$7:$O$196,"&lt;0")</x:f>
        <x:v>1</x:v>
      </x:c>
      <x:c r="P72" s="16" t="n">
        <x:f>COUNTIFS('逐条表现'!$F$7:$F$196,"苏冰",'逐条表现'!$G$7:$G$196,"15m",'逐条表现'!$D$7:$D$196,"黄金",'逐条表现'!$N$7:$N$196,"&gt;0",'逐条表现'!$O$7:$O$196,"=0")</x:f>
        <x:v>0</x:v>
      </x:c>
      <x:c r="Q72" s="16" t="n">
        <x:f>COUNTIFS('逐条表现'!$F$7:$F$196,"苏冰",'逐条表现'!$G$7:$G$196,"15m",'逐条表现'!$D$7:$D$196,"黄金",'逐条表现'!$P$7:$P$196,"&gt;0",'逐条表现'!$Q$7:$Q$196,"&lt;0")</x:f>
        <x:v>1</x:v>
      </x:c>
      <x:c r="R72" s="16" t="n">
        <x:f>COUNTIFS('逐条表现'!$F$7:$F$196,"苏冰",'逐条表现'!$G$7:$G$196,"15m",'逐条表现'!$D$7:$D$196,"黄金",'逐条表现'!$P$7:$P$196,"&gt;0",'逐条表现'!$Q$7:$Q$196,"=0")</x:f>
        <x:v>0</x:v>
      </x:c>
      <x:c r="S72" s="16" t="n">
        <x:f>COUNTIFS('逐条表现'!$F$7:$F$196,"苏冰",'逐条表现'!$G$7:$G$196,"15m",'逐条表现'!$D$7:$D$196,"黄金",'逐条表现'!$R$7:$R$196,"&gt;0",'逐条表现'!$S$7:$S$196,"&lt;0")</x:f>
        <x:v>2</x:v>
      </x:c>
      <x:c r="T72" s="16" t="n">
        <x:f>COUNTIFS('逐条表现'!$F$7:$F$196,"苏冰",'逐条表现'!$G$7:$G$196,"15m",'逐条表现'!$D$7:$D$196,"黄金",'逐条表现'!$R$7:$R$196,"&gt;0",'逐条表现'!$S$7:$S$196,"=0")</x:f>
        <x:v>0</x:v>
      </x:c>
      <x:c r="U72" s="5" t="n">
        <x:f>IF(E72=0,"",SUMIFS('逐条表现'!$O$7:$O$196,'逐条表现'!$F$7:$F$196,"苏冰",'逐条表现'!$G$7:$G$196,"15m",'逐条表现'!$D$7:$D$196,"黄金")/E72)</x:f>
        <x:v>-0.00014397412231067128</x:v>
      </x:c>
      <x:c r="V72" s="5" t="n">
        <x:f>IF(H72=0,"",SUMIFS('逐条表现'!$Q$7:$Q$196,'逐条表现'!$F$7:$F$196,"苏冰",'逐条表现'!$G$7:$G$196,"15m",'逐条表现'!$D$7:$D$196,"黄金")/H72)</x:f>
        <x:v>0.0003210875810848446</x:v>
      </x:c>
      <x:c r="W72" s="16" t="n">
        <x:f>C72-K72-N72</x:f>
        <x:v>0</x:v>
      </x:c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</x:row>
    <x:row r="73" ht="27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</x:row>
    <x:row r="74" ht="27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</x:row>
    <x:row r="75" ht="27" customHeight="1">
      <x:c r="A75" s="15" t="str">
        <x:v>按交易日比较</x:v>
      </x:c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</x:row>
    <x:row r="76" ht="38" customHeight="1">
      <x:c r="A76" s="9" t="str">
        <x:v>策略/品种</x:v>
      </x:c>
      <x:c r="B76" s="9" t="str">
        <x:v>信号周期</x:v>
      </x:c>
      <x:c r="C76" s="9" t="str">
        <x:v>总条数</x:v>
      </x:c>
      <x:c r="D76" s="9" t="str">
        <x:v>15m有利</x:v>
      </x:c>
      <x:c r="E76" s="9" t="str">
        <x:v>15m样本</x:v>
      </x:c>
      <x:c r="F76" s="9" t="str">
        <x:v>15m比例</x:v>
      </x:c>
      <x:c r="G76" s="9" t="str">
        <x:v>30m有利</x:v>
      </x:c>
      <x:c r="H76" s="9" t="str">
        <x:v>30m样本</x:v>
      </x:c>
      <x:c r="I76" s="9" t="str">
        <x:v>30m比例</x:v>
      </x:c>
      <x:c r="J76" s="9" t="str">
        <x:v>60m有利</x:v>
      </x:c>
      <x:c r="K76" s="9" t="str">
        <x:v>60m样本</x:v>
      </x:c>
      <x:c r="L76" s="9" t="str">
        <x:v>60m比例</x:v>
      </x:c>
      <x:c r="M76" s="9" t="str">
        <x:v>60m均变</x:v>
      </x:c>
      <x:c r="N76" s="9" t="str">
        <x:v>60m缺数据</x:v>
      </x:c>
      <x:c r="O76" s="9" t="str">
        <x:v>15m不利</x:v>
      </x:c>
      <x:c r="P76" s="9" t="str">
        <x:v>15m持平</x:v>
      </x:c>
      <x:c r="Q76" s="9" t="str">
        <x:v>30m不利</x:v>
      </x:c>
      <x:c r="R76" s="9" t="str">
        <x:v>30m持平</x:v>
      </x:c>
      <x:c r="S76" s="9" t="str">
        <x:v>60m不利</x:v>
      </x:c>
      <x:c r="T76" s="9" t="str">
        <x:v>60m持平</x:v>
      </x:c>
      <x:c r="U76" s="9" t="str">
        <x:v>15m均变</x:v>
      </x:c>
      <x:c r="V76" s="9" t="str">
        <x:v>30m均变</x:v>
      </x:c>
      <x:c r="W76" s="9" t="str">
        <x:v>60m待观察</x:v>
      </x:c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</x:row>
    <x:row r="77" ht="27" customHeight="1">
      <x:c r="A77" s="2" t="str">
        <x:v>2026-09-07 火天大有</x:v>
      </x:c>
      <x:c r="B77" s="2" t="str">
        <x:v>15m</x:v>
      </x:c>
      <x:c r="C77" s="16" t="n">
        <x:f>COUNTIFS('逐条表现'!$F$7:$F$196,"火天大有",'逐条表现'!$G$7:$G$196,"15m",'逐条表现'!$AH$7:$AH$196,DATE(2026,09,07))</x:f>
        <x:v>1</x:v>
      </x:c>
      <x:c r="D77" s="16" t="n">
        <x:f>COUNTIFS('逐条表现'!$F$7:$F$196,"火天大有",'逐条表现'!$G$7:$G$196,"15m",'逐条表现'!$AH$7:$AH$196,DATE(2026,09,07),'逐条表现'!$N$7:$N$196,"&gt;0",'逐条表现'!$O$7:$O$196,"&gt;0")</x:f>
        <x:v>0</x:v>
      </x:c>
      <x:c r="E77" s="16" t="n">
        <x:f>COUNTIFS('逐条表现'!$F$7:$F$196,"火天大有",'逐条表现'!$G$7:$G$196,"15m",'逐条表现'!$AH$7:$AH$196,DATE(2026,09,07),'逐条表现'!$N$7:$N$196,"&gt;0")</x:f>
        <x:v>1</x:v>
      </x:c>
      <x:c r="F77" s="17" t="n">
        <x:f>IF(E77=0,"",D77/E77)</x:f>
        <x:v>0</x:v>
      </x:c>
      <x:c r="G77" s="16" t="n">
        <x:f>COUNTIFS('逐条表现'!$F$7:$F$196,"火天大有",'逐条表现'!$G$7:$G$196,"15m",'逐条表现'!$AH$7:$AH$196,DATE(2026,09,07),'逐条表现'!$P$7:$P$196,"&gt;0",'逐条表现'!$Q$7:$Q$196,"&gt;0")</x:f>
        <x:v>0</x:v>
      </x:c>
      <x:c r="H77" s="16" t="n">
        <x:f>COUNTIFS('逐条表现'!$F$7:$F$196,"火天大有",'逐条表现'!$G$7:$G$196,"15m",'逐条表现'!$AH$7:$AH$196,DATE(2026,09,07),'逐条表现'!$P$7:$P$196,"&gt;0")</x:f>
        <x:v>1</x:v>
      </x:c>
      <x:c r="I77" s="17" t="n">
        <x:f>IF(H77=0,"",G77/H77)</x:f>
        <x:v>0</x:v>
      </x:c>
      <x:c r="J77" s="16" t="n">
        <x:f>COUNTIFS('逐条表现'!$F$7:$F$196,"火天大有",'逐条表现'!$G$7:$G$196,"15m",'逐条表现'!$AH$7:$AH$196,DATE(2026,09,07),'逐条表现'!$R$7:$R$196,"&gt;0",'逐条表现'!$S$7:$S$196,"&gt;0")</x:f>
        <x:v>0</x:v>
      </x:c>
      <x:c r="K77" s="16" t="n">
        <x:f>COUNTIFS('逐条表现'!$F$7:$F$196,"火天大有",'逐条表现'!$G$7:$G$196,"15m",'逐条表现'!$AH$7:$AH$196,DATE(2026,09,07),'逐条表现'!$R$7:$R$196,"&gt;0")</x:f>
        <x:v>1</x:v>
      </x:c>
      <x:c r="L77" s="17" t="n">
        <x:f>IF(K77=0,"",J77/K77)</x:f>
        <x:v>0</x:v>
      </x:c>
      <x:c r="M77" s="5" t="n">
        <x:f>IF(K77=0,"",SUMIFS('逐条表现'!$S$7:$S$196,'逐条表现'!$F$7:$F$196,"火天大有",'逐条表现'!$G$7:$G$196,"15m",'逐条表现'!$AH$7:$AH$196,DATE(2026,09,07))/K77)</x:f>
        <x:v>-0.004311672312904191</x:v>
      </x:c>
      <x:c r="N77" s="16" t="n">
        <x:f>C77-K77-COUNTIFS('逐条表现'!$F$7:$F$196,"火天大有",'逐条表现'!$G$7:$G$196,"15m",'逐条表现'!$AH$7:$AH$196,DATE(2026,09,07),'逐条表现'!$AK$7:$AK$196,"待观察")</x:f>
        <x:v>0</x:v>
      </x:c>
      <x:c r="O77" s="16" t="n">
        <x:f>COUNTIFS('逐条表现'!$F$7:$F$196,"火天大有",'逐条表现'!$G$7:$G$196,"15m",'逐条表现'!$AH$7:$AH$196,DATE(2026,09,07),'逐条表现'!$N$7:$N$196,"&gt;0",'逐条表现'!$O$7:$O$196,"&lt;0")</x:f>
        <x:v>1</x:v>
      </x:c>
      <x:c r="P77" s="16" t="n">
        <x:f>COUNTIFS('逐条表现'!$F$7:$F$196,"火天大有",'逐条表现'!$G$7:$G$196,"15m",'逐条表现'!$AH$7:$AH$196,DATE(2026,09,07),'逐条表现'!$N$7:$N$196,"&gt;0",'逐条表现'!$O$7:$O$196,"=0")</x:f>
        <x:v>0</x:v>
      </x:c>
      <x:c r="Q77" s="16" t="n">
        <x:f>COUNTIFS('逐条表现'!$F$7:$F$196,"火天大有",'逐条表现'!$G$7:$G$196,"15m",'逐条表现'!$AH$7:$AH$196,DATE(2026,09,07),'逐条表现'!$P$7:$P$196,"&gt;0",'逐条表现'!$Q$7:$Q$196,"&lt;0")</x:f>
        <x:v>1</x:v>
      </x:c>
      <x:c r="R77" s="16" t="n">
        <x:f>COUNTIFS('逐条表现'!$F$7:$F$196,"火天大有",'逐条表现'!$G$7:$G$196,"15m",'逐条表现'!$AH$7:$AH$196,DATE(2026,09,07),'逐条表现'!$P$7:$P$196,"&gt;0",'逐条表现'!$Q$7:$Q$196,"=0")</x:f>
        <x:v>0</x:v>
      </x:c>
      <x:c r="S77" s="16" t="n">
        <x:f>COUNTIFS('逐条表现'!$F$7:$F$196,"火天大有",'逐条表现'!$G$7:$G$196,"15m",'逐条表现'!$AH$7:$AH$196,DATE(2026,09,07),'逐条表现'!$R$7:$R$196,"&gt;0",'逐条表现'!$S$7:$S$196,"&lt;0")</x:f>
        <x:v>1</x:v>
      </x:c>
      <x:c r="T77" s="16" t="n">
        <x:f>COUNTIFS('逐条表现'!$F$7:$F$196,"火天大有",'逐条表现'!$G$7:$G$196,"15m",'逐条表现'!$AH$7:$AH$196,DATE(2026,09,07),'逐条表现'!$R$7:$R$196,"&gt;0",'逐条表现'!$S$7:$S$196,"=0")</x:f>
        <x:v>0</x:v>
      </x:c>
      <x:c r="U77" s="5" t="n">
        <x:f>IF(E77=0,"",SUMIFS('逐条表现'!$O$7:$O$196,'逐条表现'!$F$7:$F$196,"火天大有",'逐条表现'!$G$7:$G$196,"15m",'逐条表现'!$AH$7:$AH$196,DATE(2026,09,07))/E77)</x:f>
        <x:v>-0.008623344625808493</x:v>
      </x:c>
      <x:c r="V77" s="5" t="n">
        <x:f>IF(H77=0,"",SUMIFS('逐条表现'!$Q$7:$Q$196,'逐条表现'!$F$7:$F$196,"火天大有",'逐条表现'!$G$7:$G$196,"15m",'逐条表现'!$AH$7:$AH$196,DATE(2026,09,07))/H77)</x:f>
        <x:v>-0.004619648906683094</x:v>
      </x:c>
      <x:c r="W77" s="16" t="n">
        <x:f>C77-K77-N77</x:f>
        <x:v>0</x:v>
      </x:c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</x:row>
    <x:row r="78" ht="27" customHeight="1">
      <x:c r="A78" s="2" t="str">
        <x:v>2026-09-07 火天大有</x:v>
      </x:c>
      <x:c r="B78" s="2" t="str">
        <x:v>5m</x:v>
      </x:c>
      <x:c r="C78" s="16" t="n">
        <x:f>COUNTIFS('逐条表现'!$F$7:$F$196,"火天大有",'逐条表现'!$G$7:$G$196,"5m",'逐条表现'!$AH$7:$AH$196,DATE(2026,09,07))</x:f>
        <x:v>2</x:v>
      </x:c>
      <x:c r="D78" s="16" t="n">
        <x:f>COUNTIFS('逐条表现'!$F$7:$F$196,"火天大有",'逐条表现'!$G$7:$G$196,"5m",'逐条表现'!$AH$7:$AH$196,DATE(2026,09,07),'逐条表现'!$N$7:$N$196,"&gt;0",'逐条表现'!$O$7:$O$196,"&gt;0")</x:f>
        <x:v>1</x:v>
      </x:c>
      <x:c r="E78" s="16" t="n">
        <x:f>COUNTIFS('逐条表现'!$F$7:$F$196,"火天大有",'逐条表现'!$G$7:$G$196,"5m",'逐条表现'!$AH$7:$AH$196,DATE(2026,09,07),'逐条表现'!$N$7:$N$196,"&gt;0")</x:f>
        <x:v>2</x:v>
      </x:c>
      <x:c r="F78" s="17" t="n">
        <x:f>IF(E78=0,"",D78/E78)</x:f>
        <x:v>0.5</x:v>
      </x:c>
      <x:c r="G78" s="16" t="n">
        <x:f>COUNTIFS('逐条表现'!$F$7:$F$196,"火天大有",'逐条表现'!$G$7:$G$196,"5m",'逐条表现'!$AH$7:$AH$196,DATE(2026,09,07),'逐条表现'!$P$7:$P$196,"&gt;0",'逐条表现'!$Q$7:$Q$196,"&gt;0")</x:f>
        <x:v>1</x:v>
      </x:c>
      <x:c r="H78" s="16" t="n">
        <x:f>COUNTIFS('逐条表现'!$F$7:$F$196,"火天大有",'逐条表现'!$G$7:$G$196,"5m",'逐条表现'!$AH$7:$AH$196,DATE(2026,09,07),'逐条表现'!$P$7:$P$196,"&gt;0")</x:f>
        <x:v>2</x:v>
      </x:c>
      <x:c r="I78" s="17" t="n">
        <x:f>IF(H78=0,"",G78/H78)</x:f>
        <x:v>0.5</x:v>
      </x:c>
      <x:c r="J78" s="16" t="n">
        <x:f>COUNTIFS('逐条表现'!$F$7:$F$196,"火天大有",'逐条表现'!$G$7:$G$196,"5m",'逐条表现'!$AH$7:$AH$196,DATE(2026,09,07),'逐条表现'!$R$7:$R$196,"&gt;0",'逐条表现'!$S$7:$S$196,"&gt;0")</x:f>
        <x:v>1</x:v>
      </x:c>
      <x:c r="K78" s="16" t="n">
        <x:f>COUNTIFS('逐条表现'!$F$7:$F$196,"火天大有",'逐条表现'!$G$7:$G$196,"5m",'逐条表现'!$AH$7:$AH$196,DATE(2026,09,07),'逐条表现'!$R$7:$R$196,"&gt;0")</x:f>
        <x:v>2</x:v>
      </x:c>
      <x:c r="L78" s="17" t="n">
        <x:f>IF(K78=0,"",J78/K78)</x:f>
        <x:v>0.5</x:v>
      </x:c>
      <x:c r="M78" s="5" t="n">
        <x:f>IF(K78=0,"",SUMIFS('逐条表现'!$S$7:$S$196,'逐条表现'!$F$7:$F$196,"火天大有",'逐条表现'!$G$7:$G$196,"5m",'逐条表现'!$AH$7:$AH$196,DATE(2026,09,07))/K78)</x:f>
        <x:v>-0.004011114689391526</x:v>
      </x:c>
      <x:c r="N78" s="16" t="n">
        <x:f>C78-K78-COUNTIFS('逐条表现'!$F$7:$F$196,"火天大有",'逐条表现'!$G$7:$G$196,"5m",'逐条表现'!$AH$7:$AH$196,DATE(2026,09,07),'逐条表现'!$AK$7:$AK$196,"待观察")</x:f>
        <x:v>0</x:v>
      </x:c>
      <x:c r="O78" s="16" t="n">
        <x:f>COUNTIFS('逐条表现'!$F$7:$F$196,"火天大有",'逐条表现'!$G$7:$G$196,"5m",'逐条表现'!$AH$7:$AH$196,DATE(2026,09,07),'逐条表现'!$N$7:$N$196,"&gt;0",'逐条表现'!$O$7:$O$196,"&lt;0")</x:f>
        <x:v>1</x:v>
      </x:c>
      <x:c r="P78" s="16" t="n">
        <x:f>COUNTIFS('逐条表现'!$F$7:$F$196,"火天大有",'逐条表现'!$G$7:$G$196,"5m",'逐条表现'!$AH$7:$AH$196,DATE(2026,09,07),'逐条表现'!$N$7:$N$196,"&gt;0",'逐条表现'!$O$7:$O$196,"=0")</x:f>
        <x:v>0</x:v>
      </x:c>
      <x:c r="Q78" s="16" t="n">
        <x:f>COUNTIFS('逐条表现'!$F$7:$F$196,"火天大有",'逐条表现'!$G$7:$G$196,"5m",'逐条表现'!$AH$7:$AH$196,DATE(2026,09,07),'逐条表现'!$P$7:$P$196,"&gt;0",'逐条表现'!$Q$7:$Q$196,"&lt;0")</x:f>
        <x:v>1</x:v>
      </x:c>
      <x:c r="R78" s="16" t="n">
        <x:f>COUNTIFS('逐条表现'!$F$7:$F$196,"火天大有",'逐条表现'!$G$7:$G$196,"5m",'逐条表现'!$AH$7:$AH$196,DATE(2026,09,07),'逐条表现'!$P$7:$P$196,"&gt;0",'逐条表现'!$Q$7:$Q$196,"=0")</x:f>
        <x:v>0</x:v>
      </x:c>
      <x:c r="S78" s="16" t="n">
        <x:f>COUNTIFS('逐条表现'!$F$7:$F$196,"火天大有",'逐条表现'!$G$7:$G$196,"5m",'逐条表现'!$AH$7:$AH$196,DATE(2026,09,07),'逐条表现'!$R$7:$R$196,"&gt;0",'逐条表现'!$S$7:$S$196,"&lt;0")</x:f>
        <x:v>1</x:v>
      </x:c>
      <x:c r="T78" s="16" t="n">
        <x:f>COUNTIFS('逐条表现'!$F$7:$F$196,"火天大有",'逐条表现'!$G$7:$G$196,"5m",'逐条表现'!$AH$7:$AH$196,DATE(2026,09,07),'逐条表现'!$R$7:$R$196,"&gt;0",'逐条表现'!$S$7:$S$196,"=0")</x:f>
        <x:v>0</x:v>
      </x:c>
      <x:c r="U78" s="5" t="n">
        <x:f>IF(E78=0,"",SUMIFS('逐条表现'!$O$7:$O$196,'逐条表现'!$F$7:$F$196,"火天大有",'逐条表现'!$G$7:$G$196,"5m",'逐条表现'!$AH$7:$AH$196,DATE(2026,09,07))/E78)</x:f>
        <x:v>0.003735449473304675</x:v>
      </x:c>
      <x:c r="V78" s="5" t="n">
        <x:f>IF(H78=0,"",SUMIFS('逐条表现'!$Q$7:$Q$196,'逐条表现'!$F$7:$F$196,"火天大有",'逐条表现'!$G$7:$G$196,"5m",'逐条表现'!$AH$7:$AH$196,DATE(2026,09,07))/H78)</x:f>
        <x:v>-0.0033712906306856416</x:v>
      </x:c>
      <x:c r="W78" s="16" t="n">
        <x:f>C78-K78-N78</x:f>
        <x:v>0</x:v>
      </x:c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</x:row>
    <x:row r="79" ht="27" customHeight="1">
      <x:c r="A79" s="2" t="str">
        <x:v>2026-09-08 火天大有</x:v>
      </x:c>
      <x:c r="B79" s="2" t="str">
        <x:v>15m</x:v>
      </x:c>
      <x:c r="C79" s="16" t="n">
        <x:f>COUNTIFS('逐条表现'!$F$7:$F$196,"火天大有",'逐条表现'!$G$7:$G$196,"15m",'逐条表现'!$AH$7:$AH$196,DATE(2026,09,08))</x:f>
        <x:v>2</x:v>
      </x:c>
      <x:c r="D79" s="16" t="n">
        <x:f>COUNTIFS('逐条表现'!$F$7:$F$196,"火天大有",'逐条表现'!$G$7:$G$196,"15m",'逐条表现'!$AH$7:$AH$196,DATE(2026,09,08),'逐条表现'!$N$7:$N$196,"&gt;0",'逐条表现'!$O$7:$O$196,"&gt;0")</x:f>
        <x:v>1</x:v>
      </x:c>
      <x:c r="E79" s="16" t="n">
        <x:f>COUNTIFS('逐条表现'!$F$7:$F$196,"火天大有",'逐条表现'!$G$7:$G$196,"15m",'逐条表现'!$AH$7:$AH$196,DATE(2026,09,08),'逐条表现'!$N$7:$N$196,"&gt;0")</x:f>
        <x:v>2</x:v>
      </x:c>
      <x:c r="F79" s="17" t="n">
        <x:f>IF(E79=0,"",D79/E79)</x:f>
        <x:v>0.5</x:v>
      </x:c>
      <x:c r="G79" s="16" t="n">
        <x:f>COUNTIFS('逐条表现'!$F$7:$F$196,"火天大有",'逐条表现'!$G$7:$G$196,"15m",'逐条表现'!$AH$7:$AH$196,DATE(2026,09,08),'逐条表现'!$P$7:$P$196,"&gt;0",'逐条表现'!$Q$7:$Q$196,"&gt;0")</x:f>
        <x:v>1</x:v>
      </x:c>
      <x:c r="H79" s="16" t="n">
        <x:f>COUNTIFS('逐条表现'!$F$7:$F$196,"火天大有",'逐条表现'!$G$7:$G$196,"15m",'逐条表现'!$AH$7:$AH$196,DATE(2026,09,08),'逐条表现'!$P$7:$P$196,"&gt;0")</x:f>
        <x:v>2</x:v>
      </x:c>
      <x:c r="I79" s="17" t="n">
        <x:f>IF(H79=0,"",G79/H79)</x:f>
        <x:v>0.5</x:v>
      </x:c>
      <x:c r="J79" s="16" t="n">
        <x:f>COUNTIFS('逐条表现'!$F$7:$F$196,"火天大有",'逐条表现'!$G$7:$G$196,"15m",'逐条表现'!$AH$7:$AH$196,DATE(2026,09,08),'逐条表现'!$R$7:$R$196,"&gt;0",'逐条表现'!$S$7:$S$196,"&gt;0")</x:f>
        <x:v>2</x:v>
      </x:c>
      <x:c r="K79" s="16" t="n">
        <x:f>COUNTIFS('逐条表现'!$F$7:$F$196,"火天大有",'逐条表现'!$G$7:$G$196,"15m",'逐条表现'!$AH$7:$AH$196,DATE(2026,09,08),'逐条表现'!$R$7:$R$196,"&gt;0")</x:f>
        <x:v>2</x:v>
      </x:c>
      <x:c r="L79" s="17" t="n">
        <x:f>IF(K79=0,"",J79/K79)</x:f>
        <x:v>1</x:v>
      </x:c>
      <x:c r="M79" s="5" t="n">
        <x:f>IF(K79=0,"",SUMIFS('逐条表现'!$S$7:$S$196,'逐条表现'!$F$7:$F$196,"火天大有",'逐条表现'!$G$7:$G$196,"15m",'逐条表现'!$AH$7:$AH$196,DATE(2026,09,08))/K79)</x:f>
        <x:v>0.0023944507130873594</x:v>
      </x:c>
      <x:c r="N79" s="16" t="n">
        <x:f>C79-K79-COUNTIFS('逐条表现'!$F$7:$F$196,"火天大有",'逐条表现'!$G$7:$G$196,"15m",'逐条表现'!$AH$7:$AH$196,DATE(2026,09,08),'逐条表现'!$AK$7:$AK$196,"待观察")</x:f>
        <x:v>0</x:v>
      </x:c>
      <x:c r="O79" s="16" t="n">
        <x:f>COUNTIFS('逐条表现'!$F$7:$F$196,"火天大有",'逐条表现'!$G$7:$G$196,"15m",'逐条表现'!$AH$7:$AH$196,DATE(2026,09,08),'逐条表现'!$N$7:$N$196,"&gt;0",'逐条表现'!$O$7:$O$196,"&lt;0")</x:f>
        <x:v>1</x:v>
      </x:c>
      <x:c r="P79" s="16" t="n">
        <x:f>COUNTIFS('逐条表现'!$F$7:$F$196,"火天大有",'逐条表现'!$G$7:$G$196,"15m",'逐条表现'!$AH$7:$AH$196,DATE(2026,09,08),'逐条表现'!$N$7:$N$196,"&gt;0",'逐条表现'!$O$7:$O$196,"=0")</x:f>
        <x:v>0</x:v>
      </x:c>
      <x:c r="Q79" s="16" t="n">
        <x:f>COUNTIFS('逐条表现'!$F$7:$F$196,"火天大有",'逐条表现'!$G$7:$G$196,"15m",'逐条表现'!$AH$7:$AH$196,DATE(2026,09,08),'逐条表现'!$P$7:$P$196,"&gt;0",'逐条表现'!$Q$7:$Q$196,"&lt;0")</x:f>
        <x:v>1</x:v>
      </x:c>
      <x:c r="R79" s="16" t="n">
        <x:f>COUNTIFS('逐条表现'!$F$7:$F$196,"火天大有",'逐条表现'!$G$7:$G$196,"15m",'逐条表现'!$AH$7:$AH$196,DATE(2026,09,08),'逐条表现'!$P$7:$P$196,"&gt;0",'逐条表现'!$Q$7:$Q$196,"=0")</x:f>
        <x:v>0</x:v>
      </x:c>
      <x:c r="S79" s="16" t="n">
        <x:f>COUNTIFS('逐条表现'!$F$7:$F$196,"火天大有",'逐条表现'!$G$7:$G$196,"15m",'逐条表现'!$AH$7:$AH$196,DATE(2026,09,08),'逐条表现'!$R$7:$R$196,"&gt;0",'逐条表现'!$S$7:$S$196,"&lt;0")</x:f>
        <x:v>0</x:v>
      </x:c>
      <x:c r="T79" s="16" t="n">
        <x:f>COUNTIFS('逐条表现'!$F$7:$F$196,"火天大有",'逐条表现'!$G$7:$G$196,"15m",'逐条表现'!$AH$7:$AH$196,DATE(2026,09,08),'逐条表现'!$R$7:$R$196,"&gt;0",'逐条表现'!$S$7:$S$196,"=0")</x:f>
        <x:v>0</x:v>
      </x:c>
      <x:c r="U79" s="5" t="n">
        <x:f>IF(E79=0,"",SUMIFS('逐条表现'!$O$7:$O$196,'逐条表现'!$F$7:$F$196,"火天大有",'逐条表现'!$G$7:$G$196,"15m",'逐条表现'!$AH$7:$AH$196,DATE(2026,09,08))/E79)</x:f>
        <x:v>-0.0012070060583690978</x:v>
      </x:c>
      <x:c r="V79" s="5" t="n">
        <x:f>IF(H79=0,"",SUMIFS('逐条表现'!$Q$7:$Q$196,'逐条表现'!$F$7:$F$196,"火天大有",'逐条表现'!$G$7:$G$196,"15m",'逐条表现'!$AH$7:$AH$196,DATE(2026,09,08))/H79)</x:f>
        <x:v>0.0004434367848283327</x:v>
      </x:c>
      <x:c r="W79" s="16" t="n">
        <x:f>C79-K79-N79</x:f>
        <x:v>0</x:v>
      </x:c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</x:row>
    <x:row r="80" ht="27" customHeight="1">
      <x:c r="A80" s="2" t="str">
        <x:v>2026-09-08 火天大有</x:v>
      </x:c>
      <x:c r="B80" s="2" t="str">
        <x:v>5m</x:v>
      </x:c>
      <x:c r="C80" s="16" t="n">
        <x:f>COUNTIFS('逐条表现'!$F$7:$F$196,"火天大有",'逐条表现'!$G$7:$G$196,"5m",'逐条表现'!$AH$7:$AH$196,DATE(2026,09,08))</x:f>
        <x:v>7</x:v>
      </x:c>
      <x:c r="D80" s="16" t="n">
        <x:f>COUNTIFS('逐条表现'!$F$7:$F$196,"火天大有",'逐条表现'!$G$7:$G$196,"5m",'逐条表现'!$AH$7:$AH$196,DATE(2026,09,08),'逐条表现'!$N$7:$N$196,"&gt;0",'逐条表现'!$O$7:$O$196,"&gt;0")</x:f>
        <x:v>2</x:v>
      </x:c>
      <x:c r="E80" s="16" t="n">
        <x:f>COUNTIFS('逐条表现'!$F$7:$F$196,"火天大有",'逐条表现'!$G$7:$G$196,"5m",'逐条表现'!$AH$7:$AH$196,DATE(2026,09,08),'逐条表现'!$N$7:$N$196,"&gt;0")</x:f>
        <x:v>6</x:v>
      </x:c>
      <x:c r="F80" s="17" t="n">
        <x:f>IF(E80=0,"",D80/E80)</x:f>
        <x:v>0.3333333333333333</x:v>
      </x:c>
      <x:c r="G80" s="16" t="n">
        <x:f>COUNTIFS('逐条表现'!$F$7:$F$196,"火天大有",'逐条表现'!$G$7:$G$196,"5m",'逐条表现'!$AH$7:$AH$196,DATE(2026,09,08),'逐条表现'!$P$7:$P$196,"&gt;0",'逐条表现'!$Q$7:$Q$196,"&gt;0")</x:f>
        <x:v>1</x:v>
      </x:c>
      <x:c r="H80" s="16" t="n">
        <x:f>COUNTIFS('逐条表现'!$F$7:$F$196,"火天大有",'逐条表现'!$G$7:$G$196,"5m",'逐条表现'!$AH$7:$AH$196,DATE(2026,09,08),'逐条表现'!$P$7:$P$196,"&gt;0")</x:f>
        <x:v>6</x:v>
      </x:c>
      <x:c r="I80" s="17" t="n">
        <x:f>IF(H80=0,"",G80/H80)</x:f>
        <x:v>0.16666666666666666</x:v>
      </x:c>
      <x:c r="J80" s="16" t="n">
        <x:f>COUNTIFS('逐条表现'!$F$7:$F$196,"火天大有",'逐条表现'!$G$7:$G$196,"5m",'逐条表现'!$AH$7:$AH$196,DATE(2026,09,08),'逐条表现'!$R$7:$R$196,"&gt;0",'逐条表现'!$S$7:$S$196,"&gt;0")</x:f>
        <x:v>0</x:v>
      </x:c>
      <x:c r="K80" s="16" t="n">
        <x:f>COUNTIFS('逐条表现'!$F$7:$F$196,"火天大有",'逐条表现'!$G$7:$G$196,"5m",'逐条表现'!$AH$7:$AH$196,DATE(2026,09,08),'逐条表现'!$R$7:$R$196,"&gt;0")</x:f>
        <x:v>6</x:v>
      </x:c>
      <x:c r="L80" s="17" t="n">
        <x:f>IF(K80=0,"",J80/K80)</x:f>
        <x:v>0</x:v>
      </x:c>
      <x:c r="M80" s="5" t="n">
        <x:f>IF(K80=0,"",SUMIFS('逐条表现'!$S$7:$S$196,'逐条表现'!$F$7:$F$196,"火天大有",'逐条表现'!$G$7:$G$196,"5m",'逐条表现'!$AH$7:$AH$196,DATE(2026,09,08))/K80)</x:f>
        <x:v>-0.011133346259994662</x:v>
      </x:c>
      <x:c r="N80" s="16" t="n">
        <x:f>C80-K80-COUNTIFS('逐条表现'!$F$7:$F$196,"火天大有",'逐条表现'!$G$7:$G$196,"5m",'逐条表现'!$AH$7:$AH$196,DATE(2026,09,08),'逐条表现'!$AK$7:$AK$196,"待观察")</x:f>
        <x:v>1</x:v>
      </x:c>
      <x:c r="O80" s="16" t="n">
        <x:f>COUNTIFS('逐条表现'!$F$7:$F$196,"火天大有",'逐条表现'!$G$7:$G$196,"5m",'逐条表现'!$AH$7:$AH$196,DATE(2026,09,08),'逐条表现'!$N$7:$N$196,"&gt;0",'逐条表现'!$O$7:$O$196,"&lt;0")</x:f>
        <x:v>4</x:v>
      </x:c>
      <x:c r="P80" s="16" t="n">
        <x:f>COUNTIFS('逐条表现'!$F$7:$F$196,"火天大有",'逐条表现'!$G$7:$G$196,"5m",'逐条表现'!$AH$7:$AH$196,DATE(2026,09,08),'逐条表现'!$N$7:$N$196,"&gt;0",'逐条表现'!$O$7:$O$196,"=0")</x:f>
        <x:v>0</x:v>
      </x:c>
      <x:c r="Q80" s="16" t="n">
        <x:f>COUNTIFS('逐条表现'!$F$7:$F$196,"火天大有",'逐条表现'!$G$7:$G$196,"5m",'逐条表现'!$AH$7:$AH$196,DATE(2026,09,08),'逐条表现'!$P$7:$P$196,"&gt;0",'逐条表现'!$Q$7:$Q$196,"&lt;0")</x:f>
        <x:v>5</x:v>
      </x:c>
      <x:c r="R80" s="16" t="n">
        <x:f>COUNTIFS('逐条表现'!$F$7:$F$196,"火天大有",'逐条表现'!$G$7:$G$196,"5m",'逐条表现'!$AH$7:$AH$196,DATE(2026,09,08),'逐条表现'!$P$7:$P$196,"&gt;0",'逐条表现'!$Q$7:$Q$196,"=0")</x:f>
        <x:v>0</x:v>
      </x:c>
      <x:c r="S80" s="16" t="n">
        <x:f>COUNTIFS('逐条表现'!$F$7:$F$196,"火天大有",'逐条表现'!$G$7:$G$196,"5m",'逐条表现'!$AH$7:$AH$196,DATE(2026,09,08),'逐条表现'!$R$7:$R$196,"&gt;0",'逐条表现'!$S$7:$S$196,"&lt;0")</x:f>
        <x:v>6</x:v>
      </x:c>
      <x:c r="T80" s="16" t="n">
        <x:f>COUNTIFS('逐条表现'!$F$7:$F$196,"火天大有",'逐条表现'!$G$7:$G$196,"5m",'逐条表现'!$AH$7:$AH$196,DATE(2026,09,08),'逐条表现'!$R$7:$R$196,"&gt;0",'逐条表现'!$S$7:$S$196,"=0")</x:f>
        <x:v>0</x:v>
      </x:c>
      <x:c r="U80" s="5" t="n">
        <x:f>IF(E80=0,"",SUMIFS('逐条表现'!$O$7:$O$196,'逐条表现'!$F$7:$F$196,"火天大有",'逐条表现'!$G$7:$G$196,"5m",'逐条表现'!$AH$7:$AH$196,DATE(2026,09,08))/E80)</x:f>
        <x:v>-0.0025254502733258097</x:v>
      </x:c>
      <x:c r="V80" s="5" t="n">
        <x:f>IF(H80=0,"",SUMIFS('逐条表现'!$Q$7:$Q$196,'逐条表现'!$F$7:$F$196,"火天大有",'逐条表现'!$G$7:$G$196,"5m",'逐条表现'!$AH$7:$AH$196,DATE(2026,09,08))/H80)</x:f>
        <x:v>-0.006266528346643541</x:v>
      </x:c>
      <x:c r="W80" s="16" t="n">
        <x:f>C80-K80-N80</x:f>
        <x:v>0</x:v>
      </x:c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</x:row>
    <x:row r="81" ht="27" customHeight="1">
      <x:c r="A81" s="2" t="str">
        <x:v>2026-09-08 苏冰</x:v>
      </x:c>
      <x:c r="B81" s="2" t="str">
        <x:v>15m</x:v>
      </x:c>
      <x:c r="C81" s="16" t="n">
        <x:f>COUNTIFS('逐条表现'!$F$7:$F$196,"苏冰",'逐条表现'!$G$7:$G$196,"15m",'逐条表现'!$AH$7:$AH$196,DATE(2026,09,08))</x:f>
        <x:v>55</x:v>
      </x:c>
      <x:c r="D81" s="16" t="n">
        <x:f>COUNTIFS('逐条表现'!$F$7:$F$196,"苏冰",'逐条表现'!$G$7:$G$196,"15m",'逐条表现'!$AH$7:$AH$196,DATE(2026,09,08),'逐条表现'!$N$7:$N$196,"&gt;0",'逐条表现'!$O$7:$O$196,"&gt;0")</x:f>
        <x:v>28</x:v>
      </x:c>
      <x:c r="E81" s="16" t="n">
        <x:f>COUNTIFS('逐条表现'!$F$7:$F$196,"苏冰",'逐条表现'!$G$7:$G$196,"15m",'逐条表现'!$AH$7:$AH$196,DATE(2026,09,08),'逐条表现'!$N$7:$N$196,"&gt;0")</x:f>
        <x:v>53</x:v>
      </x:c>
      <x:c r="F81" s="17" t="n">
        <x:f>IF(E81=0,"",D81/E81)</x:f>
        <x:v>0.5283018867924528</x:v>
      </x:c>
      <x:c r="G81" s="16" t="n">
        <x:f>COUNTIFS('逐条表现'!$F$7:$F$196,"苏冰",'逐条表现'!$G$7:$G$196,"15m",'逐条表现'!$AH$7:$AH$196,DATE(2026,09,08),'逐条表现'!$P$7:$P$196,"&gt;0",'逐条表现'!$Q$7:$Q$196,"&gt;0")</x:f>
        <x:v>31</x:v>
      </x:c>
      <x:c r="H81" s="16" t="n">
        <x:f>COUNTIFS('逐条表现'!$F$7:$F$196,"苏冰",'逐条表现'!$G$7:$G$196,"15m",'逐条表现'!$AH$7:$AH$196,DATE(2026,09,08),'逐条表现'!$P$7:$P$196,"&gt;0")</x:f>
        <x:v>51</x:v>
      </x:c>
      <x:c r="I81" s="17" t="n">
        <x:f>IF(H81=0,"",G81/H81)</x:f>
        <x:v>0.6078431372549019</x:v>
      </x:c>
      <x:c r="J81" s="16" t="n">
        <x:f>COUNTIFS('逐条表现'!$F$7:$F$196,"苏冰",'逐条表现'!$G$7:$G$196,"15m",'逐条表现'!$AH$7:$AH$196,DATE(2026,09,08),'逐条表现'!$R$7:$R$196,"&gt;0",'逐条表现'!$S$7:$S$196,"&gt;0")</x:f>
        <x:v>23</x:v>
      </x:c>
      <x:c r="K81" s="16" t="n">
        <x:f>COUNTIFS('逐条表现'!$F$7:$F$196,"苏冰",'逐条表现'!$G$7:$G$196,"15m",'逐条表现'!$AH$7:$AH$196,DATE(2026,09,08),'逐条表现'!$R$7:$R$196,"&gt;0")</x:f>
        <x:v>48</x:v>
      </x:c>
      <x:c r="L81" s="17" t="n">
        <x:f>IF(K81=0,"",J81/K81)</x:f>
        <x:v>0.4791666666666667</x:v>
      </x:c>
      <x:c r="M81" s="5" t="n">
        <x:f>IF(K81=0,"",SUMIFS('逐条表现'!$S$7:$S$196,'逐条表现'!$F$7:$F$196,"苏冰",'逐条表现'!$G$7:$G$196,"15m",'逐条表现'!$AH$7:$AH$196,DATE(2026,09,08))/K81)</x:f>
        <x:v>0.0010343114389934325</x:v>
      </x:c>
      <x:c r="N81" s="16" t="n">
        <x:f>C81-K81-COUNTIFS('逐条表现'!$F$7:$F$196,"苏冰",'逐条表现'!$G$7:$G$196,"15m",'逐条表现'!$AH$7:$AH$196,DATE(2026,09,08),'逐条表现'!$AK$7:$AK$196,"待观察")</x:f>
        <x:v>7</x:v>
      </x:c>
      <x:c r="O81" s="16" t="n">
        <x:f>COUNTIFS('逐条表现'!$F$7:$F$196,"苏冰",'逐条表现'!$G$7:$G$196,"15m",'逐条表现'!$AH$7:$AH$196,DATE(2026,09,08),'逐条表现'!$N$7:$N$196,"&gt;0",'逐条表现'!$O$7:$O$196,"&lt;0")</x:f>
        <x:v>22</x:v>
      </x:c>
      <x:c r="P81" s="16" t="n">
        <x:f>COUNTIFS('逐条表现'!$F$7:$F$196,"苏冰",'逐条表现'!$G$7:$G$196,"15m",'逐条表现'!$AH$7:$AH$196,DATE(2026,09,08),'逐条表现'!$N$7:$N$196,"&gt;0",'逐条表现'!$O$7:$O$196,"=0")</x:f>
        <x:v>3</x:v>
      </x:c>
      <x:c r="Q81" s="16" t="n">
        <x:f>COUNTIFS('逐条表现'!$F$7:$F$196,"苏冰",'逐条表现'!$G$7:$G$196,"15m",'逐条表现'!$AH$7:$AH$196,DATE(2026,09,08),'逐条表现'!$P$7:$P$196,"&gt;0",'逐条表现'!$Q$7:$Q$196,"&lt;0")</x:f>
        <x:v>19</x:v>
      </x:c>
      <x:c r="R81" s="16" t="n">
        <x:f>COUNTIFS('逐条表现'!$F$7:$F$196,"苏冰",'逐条表现'!$G$7:$G$196,"15m",'逐条表现'!$AH$7:$AH$196,DATE(2026,09,08),'逐条表现'!$P$7:$P$196,"&gt;0",'逐条表现'!$Q$7:$Q$196,"=0")</x:f>
        <x:v>1</x:v>
      </x:c>
      <x:c r="S81" s="16" t="n">
        <x:f>COUNTIFS('逐条表现'!$F$7:$F$196,"苏冰",'逐条表现'!$G$7:$G$196,"15m",'逐条表现'!$AH$7:$AH$196,DATE(2026,09,08),'逐条表现'!$R$7:$R$196,"&gt;0",'逐条表现'!$S$7:$S$196,"&lt;0")</x:f>
        <x:v>24</x:v>
      </x:c>
      <x:c r="T81" s="16" t="n">
        <x:f>COUNTIFS('逐条表现'!$F$7:$F$196,"苏冰",'逐条表现'!$G$7:$G$196,"15m",'逐条表现'!$AH$7:$AH$196,DATE(2026,09,08),'逐条表现'!$R$7:$R$196,"&gt;0",'逐条表现'!$S$7:$S$196,"=0")</x:f>
        <x:v>1</x:v>
      </x:c>
      <x:c r="U81" s="5" t="n">
        <x:f>IF(E81=0,"",SUMIFS('逐条表现'!$O$7:$O$196,'逐条表现'!$F$7:$F$196,"苏冰",'逐条表现'!$G$7:$G$196,"15m",'逐条表现'!$AH$7:$AH$196,DATE(2026,09,08))/E81)</x:f>
        <x:v>0.0004161496416271454</x:v>
      </x:c>
      <x:c r="V81" s="5" t="n">
        <x:f>IF(H81=0,"",SUMIFS('逐条表现'!$Q$7:$Q$196,'逐条表现'!$F$7:$F$196,"苏冰",'逐条表现'!$G$7:$G$196,"15m",'逐条表现'!$AH$7:$AH$196,DATE(2026,09,08))/H81)</x:f>
        <x:v>0.0008398132163075913</x:v>
      </x:c>
      <x:c r="W81" s="16" t="n">
        <x:f>C81-K81-N81</x:f>
        <x:v>0</x:v>
      </x:c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</x:row>
    <x:row r="82" ht="27" customHeight="1">
      <x:c r="A82" s="2" t="str">
        <x:v>2026-09-09 火天大有</x:v>
      </x:c>
      <x:c r="B82" s="2" t="str">
        <x:v>15m</x:v>
      </x:c>
      <x:c r="C82" s="16" t="n">
        <x:f>COUNTIFS('逐条表现'!$F$7:$F$196,"火天大有",'逐条表现'!$G$7:$G$196,"15m",'逐条表现'!$AH$7:$AH$196,DATE(2026,09,09))</x:f>
        <x:v>3</x:v>
      </x:c>
      <x:c r="D82" s="16" t="n">
        <x:f>COUNTIFS('逐条表现'!$F$7:$F$196,"火天大有",'逐条表现'!$G$7:$G$196,"15m",'逐条表现'!$AH$7:$AH$196,DATE(2026,09,09),'逐条表现'!$N$7:$N$196,"&gt;0",'逐条表现'!$O$7:$O$196,"&gt;0")</x:f>
        <x:v>0</x:v>
      </x:c>
      <x:c r="E82" s="16" t="n">
        <x:f>COUNTIFS('逐条表现'!$F$7:$F$196,"火天大有",'逐条表现'!$G$7:$G$196,"15m",'逐条表现'!$AH$7:$AH$196,DATE(2026,09,09),'逐条表现'!$N$7:$N$196,"&gt;0")</x:f>
        <x:v>0</x:v>
      </x:c>
      <x:c r="F82" s="17" t="str">
        <x:f>IF(E82=0,"",D82/E82)</x:f>
      </x:c>
      <x:c r="G82" s="16" t="n">
        <x:f>COUNTIFS('逐条表现'!$F$7:$F$196,"火天大有",'逐条表现'!$G$7:$G$196,"15m",'逐条表现'!$AH$7:$AH$196,DATE(2026,09,09),'逐条表现'!$P$7:$P$196,"&gt;0",'逐条表现'!$Q$7:$Q$196,"&gt;0")</x:f>
        <x:v>0</x:v>
      </x:c>
      <x:c r="H82" s="16" t="n">
        <x:f>COUNTIFS('逐条表现'!$F$7:$F$196,"火天大有",'逐条表现'!$G$7:$G$196,"15m",'逐条表现'!$AH$7:$AH$196,DATE(2026,09,09),'逐条表现'!$P$7:$P$196,"&gt;0")</x:f>
        <x:v>0</x:v>
      </x:c>
      <x:c r="I82" s="17" t="str">
        <x:f>IF(H82=0,"",G82/H82)</x:f>
      </x:c>
      <x:c r="J82" s="16" t="n">
        <x:f>COUNTIFS('逐条表现'!$F$7:$F$196,"火天大有",'逐条表现'!$G$7:$G$196,"15m",'逐条表现'!$AH$7:$AH$196,DATE(2026,09,09),'逐条表现'!$R$7:$R$196,"&gt;0",'逐条表现'!$S$7:$S$196,"&gt;0")</x:f>
        <x:v>0</x:v>
      </x:c>
      <x:c r="K82" s="16" t="n">
        <x:f>COUNTIFS('逐条表现'!$F$7:$F$196,"火天大有",'逐条表现'!$G$7:$G$196,"15m",'逐条表现'!$AH$7:$AH$196,DATE(2026,09,09),'逐条表现'!$R$7:$R$196,"&gt;0")</x:f>
        <x:v>0</x:v>
      </x:c>
      <x:c r="L82" s="17" t="str">
        <x:f>IF(K82=0,"",J82/K82)</x:f>
      </x:c>
      <x:c r="M82" s="5" t="str">
        <x:f>IF(K82=0,"",SUMIFS('逐条表现'!$S$7:$S$196,'逐条表现'!$F$7:$F$196,"火天大有",'逐条表现'!$G$7:$G$196,"15m",'逐条表现'!$AH$7:$AH$196,DATE(2026,09,09))/K82)</x:f>
      </x:c>
      <x:c r="N82" s="16" t="n">
        <x:f>C82-K82-COUNTIFS('逐条表现'!$F$7:$F$196,"火天大有",'逐条表现'!$G$7:$G$196,"15m",'逐条表现'!$AH$7:$AH$196,DATE(2026,09,09),'逐条表现'!$AK$7:$AK$196,"待观察")</x:f>
        <x:v>3</x:v>
      </x:c>
      <x:c r="O82" s="16" t="n">
        <x:f>COUNTIFS('逐条表现'!$F$7:$F$196,"火天大有",'逐条表现'!$G$7:$G$196,"15m",'逐条表现'!$AH$7:$AH$196,DATE(2026,09,09),'逐条表现'!$N$7:$N$196,"&gt;0",'逐条表现'!$O$7:$O$196,"&lt;0")</x:f>
        <x:v>0</x:v>
      </x:c>
      <x:c r="P82" s="16" t="n">
        <x:f>COUNTIFS('逐条表现'!$F$7:$F$196,"火天大有",'逐条表现'!$G$7:$G$196,"15m",'逐条表现'!$AH$7:$AH$196,DATE(2026,09,09),'逐条表现'!$N$7:$N$196,"&gt;0",'逐条表现'!$O$7:$O$196,"=0")</x:f>
        <x:v>0</x:v>
      </x:c>
      <x:c r="Q82" s="16" t="n">
        <x:f>COUNTIFS('逐条表现'!$F$7:$F$196,"火天大有",'逐条表现'!$G$7:$G$196,"15m",'逐条表现'!$AH$7:$AH$196,DATE(2026,09,09),'逐条表现'!$P$7:$P$196,"&gt;0",'逐条表现'!$Q$7:$Q$196,"&lt;0")</x:f>
        <x:v>0</x:v>
      </x:c>
      <x:c r="R82" s="16" t="n">
        <x:f>COUNTIFS('逐条表现'!$F$7:$F$196,"火天大有",'逐条表现'!$G$7:$G$196,"15m",'逐条表现'!$AH$7:$AH$196,DATE(2026,09,09),'逐条表现'!$P$7:$P$196,"&gt;0",'逐条表现'!$Q$7:$Q$196,"=0")</x:f>
        <x:v>0</x:v>
      </x:c>
      <x:c r="S82" s="16" t="n">
        <x:f>COUNTIFS('逐条表现'!$F$7:$F$196,"火天大有",'逐条表现'!$G$7:$G$196,"15m",'逐条表现'!$AH$7:$AH$196,DATE(2026,09,09),'逐条表现'!$R$7:$R$196,"&gt;0",'逐条表现'!$S$7:$S$196,"&lt;0")</x:f>
        <x:v>0</x:v>
      </x:c>
      <x:c r="T82" s="16" t="n">
        <x:f>COUNTIFS('逐条表现'!$F$7:$F$196,"火天大有",'逐条表现'!$G$7:$G$196,"15m",'逐条表现'!$AH$7:$AH$196,DATE(2026,09,09),'逐条表现'!$R$7:$R$196,"&gt;0",'逐条表现'!$S$7:$S$196,"=0")</x:f>
        <x:v>0</x:v>
      </x:c>
      <x:c r="U82" s="5" t="str">
        <x:f>IF(E82=0,"",SUMIFS('逐条表现'!$O$7:$O$196,'逐条表现'!$F$7:$F$196,"火天大有",'逐条表现'!$G$7:$G$196,"15m",'逐条表现'!$AH$7:$AH$196,DATE(2026,09,09))/E82)</x:f>
      </x:c>
      <x:c r="V82" s="5" t="str">
        <x:f>IF(H82=0,"",SUMIFS('逐条表现'!$Q$7:$Q$196,'逐条表现'!$F$7:$F$196,"火天大有",'逐条表现'!$G$7:$G$196,"15m",'逐条表现'!$AH$7:$AH$196,DATE(2026,09,09))/H82)</x:f>
      </x:c>
      <x:c r="W82" s="16" t="n">
        <x:f>C82-K82-N82</x:f>
        <x:v>0</x:v>
      </x:c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</x:row>
    <x:row r="83" ht="27" customHeight="1">
      <x:c r="A83" s="2" t="str">
        <x:v>2026-09-09 火天大有</x:v>
      </x:c>
      <x:c r="B83" s="2" t="str">
        <x:v>5m</x:v>
      </x:c>
      <x:c r="C83" s="16" t="n">
        <x:f>COUNTIFS('逐条表现'!$F$7:$F$196,"火天大有",'逐条表现'!$G$7:$G$196,"5m",'逐条表现'!$AH$7:$AH$196,DATE(2026,09,09))</x:f>
        <x:v>3</x:v>
      </x:c>
      <x:c r="D83" s="16" t="n">
        <x:f>COUNTIFS('逐条表现'!$F$7:$F$196,"火天大有",'逐条表现'!$G$7:$G$196,"5m",'逐条表现'!$AH$7:$AH$196,DATE(2026,09,09),'逐条表现'!$N$7:$N$196,"&gt;0",'逐条表现'!$O$7:$O$196,"&gt;0")</x:f>
        <x:v>0</x:v>
      </x:c>
      <x:c r="E83" s="16" t="n">
        <x:f>COUNTIFS('逐条表现'!$F$7:$F$196,"火天大有",'逐条表现'!$G$7:$G$196,"5m",'逐条表现'!$AH$7:$AH$196,DATE(2026,09,09),'逐条表现'!$N$7:$N$196,"&gt;0")</x:f>
        <x:v>0</x:v>
      </x:c>
      <x:c r="F83" s="17" t="str">
        <x:f>IF(E83=0,"",D83/E83)</x:f>
      </x:c>
      <x:c r="G83" s="16" t="n">
        <x:f>COUNTIFS('逐条表现'!$F$7:$F$196,"火天大有",'逐条表现'!$G$7:$G$196,"5m",'逐条表现'!$AH$7:$AH$196,DATE(2026,09,09),'逐条表现'!$P$7:$P$196,"&gt;0",'逐条表现'!$Q$7:$Q$196,"&gt;0")</x:f>
        <x:v>0</x:v>
      </x:c>
      <x:c r="H83" s="16" t="n">
        <x:f>COUNTIFS('逐条表现'!$F$7:$F$196,"火天大有",'逐条表现'!$G$7:$G$196,"5m",'逐条表现'!$AH$7:$AH$196,DATE(2026,09,09),'逐条表现'!$P$7:$P$196,"&gt;0")</x:f>
        <x:v>0</x:v>
      </x:c>
      <x:c r="I83" s="17" t="str">
        <x:f>IF(H83=0,"",G83/H83)</x:f>
      </x:c>
      <x:c r="J83" s="16" t="n">
        <x:f>COUNTIFS('逐条表现'!$F$7:$F$196,"火天大有",'逐条表现'!$G$7:$G$196,"5m",'逐条表现'!$AH$7:$AH$196,DATE(2026,09,09),'逐条表现'!$R$7:$R$196,"&gt;0",'逐条表现'!$S$7:$S$196,"&gt;0")</x:f>
        <x:v>0</x:v>
      </x:c>
      <x:c r="K83" s="16" t="n">
        <x:f>COUNTIFS('逐条表现'!$F$7:$F$196,"火天大有",'逐条表现'!$G$7:$G$196,"5m",'逐条表现'!$AH$7:$AH$196,DATE(2026,09,09),'逐条表现'!$R$7:$R$196,"&gt;0")</x:f>
        <x:v>0</x:v>
      </x:c>
      <x:c r="L83" s="17" t="str">
        <x:f>IF(K83=0,"",J83/K83)</x:f>
      </x:c>
      <x:c r="M83" s="5" t="str">
        <x:f>IF(K83=0,"",SUMIFS('逐条表现'!$S$7:$S$196,'逐条表现'!$F$7:$F$196,"火天大有",'逐条表现'!$G$7:$G$196,"5m",'逐条表现'!$AH$7:$AH$196,DATE(2026,09,09))/K83)</x:f>
      </x:c>
      <x:c r="N83" s="16" t="n">
        <x:f>C83-K83-COUNTIFS('逐条表现'!$F$7:$F$196,"火天大有",'逐条表现'!$G$7:$G$196,"5m",'逐条表现'!$AH$7:$AH$196,DATE(2026,09,09),'逐条表现'!$AK$7:$AK$196,"待观察")</x:f>
        <x:v>3</x:v>
      </x:c>
      <x:c r="O83" s="16" t="n">
        <x:f>COUNTIFS('逐条表现'!$F$7:$F$196,"火天大有",'逐条表现'!$G$7:$G$196,"5m",'逐条表现'!$AH$7:$AH$196,DATE(2026,09,09),'逐条表现'!$N$7:$N$196,"&gt;0",'逐条表现'!$O$7:$O$196,"&lt;0")</x:f>
        <x:v>0</x:v>
      </x:c>
      <x:c r="P83" s="16" t="n">
        <x:f>COUNTIFS('逐条表现'!$F$7:$F$196,"火天大有",'逐条表现'!$G$7:$G$196,"5m",'逐条表现'!$AH$7:$AH$196,DATE(2026,09,09),'逐条表现'!$N$7:$N$196,"&gt;0",'逐条表现'!$O$7:$O$196,"=0")</x:f>
        <x:v>0</x:v>
      </x:c>
      <x:c r="Q83" s="16" t="n">
        <x:f>COUNTIFS('逐条表现'!$F$7:$F$196,"火天大有",'逐条表现'!$G$7:$G$196,"5m",'逐条表现'!$AH$7:$AH$196,DATE(2026,09,09),'逐条表现'!$P$7:$P$196,"&gt;0",'逐条表现'!$Q$7:$Q$196,"&lt;0")</x:f>
        <x:v>0</x:v>
      </x:c>
      <x:c r="R83" s="16" t="n">
        <x:f>COUNTIFS('逐条表现'!$F$7:$F$196,"火天大有",'逐条表现'!$G$7:$G$196,"5m",'逐条表现'!$AH$7:$AH$196,DATE(2026,09,09),'逐条表现'!$P$7:$P$196,"&gt;0",'逐条表现'!$Q$7:$Q$196,"=0")</x:f>
        <x:v>0</x:v>
      </x:c>
      <x:c r="S83" s="16" t="n">
        <x:f>COUNTIFS('逐条表现'!$F$7:$F$196,"火天大有",'逐条表现'!$G$7:$G$196,"5m",'逐条表现'!$AH$7:$AH$196,DATE(2026,09,09),'逐条表现'!$R$7:$R$196,"&gt;0",'逐条表现'!$S$7:$S$196,"&lt;0")</x:f>
        <x:v>0</x:v>
      </x:c>
      <x:c r="T83" s="16" t="n">
        <x:f>COUNTIFS('逐条表现'!$F$7:$F$196,"火天大有",'逐条表现'!$G$7:$G$196,"5m",'逐条表现'!$AH$7:$AH$196,DATE(2026,09,09),'逐条表现'!$R$7:$R$196,"&gt;0",'逐条表现'!$S$7:$S$196,"=0")</x:f>
        <x:v>0</x:v>
      </x:c>
      <x:c r="U83" s="5" t="str">
        <x:f>IF(E83=0,"",SUMIFS('逐条表现'!$O$7:$O$196,'逐条表现'!$F$7:$F$196,"火天大有",'逐条表现'!$G$7:$G$196,"5m",'逐条表现'!$AH$7:$AH$196,DATE(2026,09,09))/E83)</x:f>
      </x:c>
      <x:c r="V83" s="5" t="str">
        <x:f>IF(H83=0,"",SUMIFS('逐条表现'!$Q$7:$Q$196,'逐条表现'!$F$7:$F$196,"火天大有",'逐条表现'!$G$7:$G$196,"5m",'逐条表现'!$AH$7:$AH$196,DATE(2026,09,09))/H83)</x:f>
      </x:c>
      <x:c r="W83" s="16" t="n">
        <x:f>C83-K83-N83</x:f>
        <x:v>0</x:v>
      </x:c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</x:row>
    <x:row r="84" ht="27" customHeight="1">
      <x:c r="A84" s="2" t="str">
        <x:v>2026-09-09 苏冰</x:v>
      </x:c>
      <x:c r="B84" s="2" t="str">
        <x:v>15m</x:v>
      </x:c>
      <x:c r="C84" s="16" t="n">
        <x:f>COUNTIFS('逐条表现'!$F$7:$F$196,"苏冰",'逐条表现'!$G$7:$G$196,"15m",'逐条表现'!$AH$7:$AH$196,DATE(2026,09,09))</x:f>
        <x:v>68</x:v>
      </x:c>
      <x:c r="D84" s="16" t="n">
        <x:f>COUNTIFS('逐条表现'!$F$7:$F$196,"苏冰",'逐条表现'!$G$7:$G$196,"15m",'逐条表现'!$AH$7:$AH$196,DATE(2026,09,09),'逐条表现'!$N$7:$N$196,"&gt;0",'逐条表现'!$O$7:$O$196,"&gt;0")</x:f>
        <x:v>0</x:v>
      </x:c>
      <x:c r="E84" s="16" t="n">
        <x:f>COUNTIFS('逐条表现'!$F$7:$F$196,"苏冰",'逐条表现'!$G$7:$G$196,"15m",'逐条表现'!$AH$7:$AH$196,DATE(2026,09,09),'逐条表现'!$N$7:$N$196,"&gt;0")</x:f>
        <x:v>0</x:v>
      </x:c>
      <x:c r="F84" s="17" t="str">
        <x:f>IF(E84=0,"",D84/E84)</x:f>
      </x:c>
      <x:c r="G84" s="16" t="n">
        <x:f>COUNTIFS('逐条表现'!$F$7:$F$196,"苏冰",'逐条表现'!$G$7:$G$196,"15m",'逐条表现'!$AH$7:$AH$196,DATE(2026,09,09),'逐条表现'!$P$7:$P$196,"&gt;0",'逐条表现'!$Q$7:$Q$196,"&gt;0")</x:f>
        <x:v>0</x:v>
      </x:c>
      <x:c r="H84" s="16" t="n">
        <x:f>COUNTIFS('逐条表现'!$F$7:$F$196,"苏冰",'逐条表现'!$G$7:$G$196,"15m",'逐条表现'!$AH$7:$AH$196,DATE(2026,09,09),'逐条表现'!$P$7:$P$196,"&gt;0")</x:f>
        <x:v>0</x:v>
      </x:c>
      <x:c r="I84" s="17" t="str">
        <x:f>IF(H84=0,"",G84/H84)</x:f>
      </x:c>
      <x:c r="J84" s="16" t="n">
        <x:f>COUNTIFS('逐条表现'!$F$7:$F$196,"苏冰",'逐条表现'!$G$7:$G$196,"15m",'逐条表现'!$AH$7:$AH$196,DATE(2026,09,09),'逐条表现'!$R$7:$R$196,"&gt;0",'逐条表现'!$S$7:$S$196,"&gt;0")</x:f>
        <x:v>0</x:v>
      </x:c>
      <x:c r="K84" s="16" t="n">
        <x:f>COUNTIFS('逐条表现'!$F$7:$F$196,"苏冰",'逐条表现'!$G$7:$G$196,"15m",'逐条表现'!$AH$7:$AH$196,DATE(2026,09,09),'逐条表现'!$R$7:$R$196,"&gt;0")</x:f>
        <x:v>0</x:v>
      </x:c>
      <x:c r="L84" s="17" t="str">
        <x:f>IF(K84=0,"",J84/K84)</x:f>
      </x:c>
      <x:c r="M84" s="5" t="str">
        <x:f>IF(K84=0,"",SUMIFS('逐条表现'!$S$7:$S$196,'逐条表现'!$F$7:$F$196,"苏冰",'逐条表现'!$G$7:$G$196,"15m",'逐条表现'!$AH$7:$AH$196,DATE(2026,09,09))/K84)</x:f>
      </x:c>
      <x:c r="N84" s="16" t="n">
        <x:f>C84-K84-COUNTIFS('逐条表现'!$F$7:$F$196,"苏冰",'逐条表现'!$G$7:$G$196,"15m",'逐条表现'!$AH$7:$AH$196,DATE(2026,09,09),'逐条表现'!$AK$7:$AK$196,"待观察")</x:f>
        <x:v>68</x:v>
      </x:c>
      <x:c r="O84" s="16" t="n">
        <x:f>COUNTIFS('逐条表现'!$F$7:$F$196,"苏冰",'逐条表现'!$G$7:$G$196,"15m",'逐条表现'!$AH$7:$AH$196,DATE(2026,09,09),'逐条表现'!$N$7:$N$196,"&gt;0",'逐条表现'!$O$7:$O$196,"&lt;0")</x:f>
        <x:v>0</x:v>
      </x:c>
      <x:c r="P84" s="16" t="n">
        <x:f>COUNTIFS('逐条表现'!$F$7:$F$196,"苏冰",'逐条表现'!$G$7:$G$196,"15m",'逐条表现'!$AH$7:$AH$196,DATE(2026,09,09),'逐条表现'!$N$7:$N$196,"&gt;0",'逐条表现'!$O$7:$O$196,"=0")</x:f>
        <x:v>0</x:v>
      </x:c>
      <x:c r="Q84" s="16" t="n">
        <x:f>COUNTIFS('逐条表现'!$F$7:$F$196,"苏冰",'逐条表现'!$G$7:$G$196,"15m",'逐条表现'!$AH$7:$AH$196,DATE(2026,09,09),'逐条表现'!$P$7:$P$196,"&gt;0",'逐条表现'!$Q$7:$Q$196,"&lt;0")</x:f>
        <x:v>0</x:v>
      </x:c>
      <x:c r="R84" s="16" t="n">
        <x:f>COUNTIFS('逐条表现'!$F$7:$F$196,"苏冰",'逐条表现'!$G$7:$G$196,"15m",'逐条表现'!$AH$7:$AH$196,DATE(2026,09,09),'逐条表现'!$P$7:$P$196,"&gt;0",'逐条表现'!$Q$7:$Q$196,"=0")</x:f>
        <x:v>0</x:v>
      </x:c>
      <x:c r="S84" s="16" t="n">
        <x:f>COUNTIFS('逐条表现'!$F$7:$F$196,"苏冰",'逐条表现'!$G$7:$G$196,"15m",'逐条表现'!$AH$7:$AH$196,DATE(2026,09,09),'逐条表现'!$R$7:$R$196,"&gt;0",'逐条表现'!$S$7:$S$196,"&lt;0")</x:f>
        <x:v>0</x:v>
      </x:c>
      <x:c r="T84" s="16" t="n">
        <x:f>COUNTIFS('逐条表现'!$F$7:$F$196,"苏冰",'逐条表现'!$G$7:$G$196,"15m",'逐条表现'!$AH$7:$AH$196,DATE(2026,09,09),'逐条表现'!$R$7:$R$196,"&gt;0",'逐条表现'!$S$7:$S$196,"=0")</x:f>
        <x:v>0</x:v>
      </x:c>
      <x:c r="U84" s="5" t="str">
        <x:f>IF(E84=0,"",SUMIFS('逐条表现'!$O$7:$O$196,'逐条表现'!$F$7:$F$196,"苏冰",'逐条表现'!$G$7:$G$196,"15m",'逐条表现'!$AH$7:$AH$196,DATE(2026,09,09))/E84)</x:f>
      </x:c>
      <x:c r="V84" s="5" t="str">
        <x:f>IF(H84=0,"",SUMIFS('逐条表现'!$Q$7:$Q$196,'逐条表现'!$F$7:$F$196,"苏冰",'逐条表现'!$G$7:$G$196,"15m",'逐条表现'!$AH$7:$AH$196,DATE(2026,09,09))/H84)</x:f>
      </x:c>
      <x:c r="W84" s="16" t="n">
        <x:f>C84-K84-N84</x:f>
        <x:v>0</x:v>
      </x:c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</x:row>
    <x:row r="85" ht="27" customHeight="1">
      <x:c r="A85" s="2" t="str">
        <x:v>2026-09-10 火天大有</x:v>
      </x:c>
      <x:c r="B85" s="2" t="str">
        <x:v>15m</x:v>
      </x:c>
      <x:c r="C85" s="16" t="n">
        <x:f>COUNTIFS('逐条表现'!$F$7:$F$196,"火天大有",'逐条表现'!$G$7:$G$196,"15m",'逐条表现'!$AH$7:$AH$196,DATE(2026,09,10))</x:f>
        <x:v>1</x:v>
      </x:c>
      <x:c r="D85" s="16" t="n">
        <x:f>COUNTIFS('逐条表现'!$F$7:$F$196,"火天大有",'逐条表现'!$G$7:$G$196,"15m",'逐条表现'!$AH$7:$AH$196,DATE(2026,09,10),'逐条表现'!$N$7:$N$196,"&gt;0",'逐条表现'!$O$7:$O$196,"&gt;0")</x:f>
        <x:v>0</x:v>
      </x:c>
      <x:c r="E85" s="16" t="n">
        <x:f>COUNTIFS('逐条表现'!$F$7:$F$196,"火天大有",'逐条表现'!$G$7:$G$196,"15m",'逐条表现'!$AH$7:$AH$196,DATE(2026,09,10),'逐条表现'!$N$7:$N$196,"&gt;0")</x:f>
        <x:v>0</x:v>
      </x:c>
      <x:c r="F85" s="17" t="str">
        <x:f>IF(E85=0,"",D85/E85)</x:f>
      </x:c>
      <x:c r="G85" s="16" t="n">
        <x:f>COUNTIFS('逐条表现'!$F$7:$F$196,"火天大有",'逐条表现'!$G$7:$G$196,"15m",'逐条表现'!$AH$7:$AH$196,DATE(2026,09,10),'逐条表现'!$P$7:$P$196,"&gt;0",'逐条表现'!$Q$7:$Q$196,"&gt;0")</x:f>
        <x:v>0</x:v>
      </x:c>
      <x:c r="H85" s="16" t="n">
        <x:f>COUNTIFS('逐条表现'!$F$7:$F$196,"火天大有",'逐条表现'!$G$7:$G$196,"15m",'逐条表现'!$AH$7:$AH$196,DATE(2026,09,10),'逐条表现'!$P$7:$P$196,"&gt;0")</x:f>
        <x:v>0</x:v>
      </x:c>
      <x:c r="I85" s="17" t="str">
        <x:f>IF(H85=0,"",G85/H85)</x:f>
      </x:c>
      <x:c r="J85" s="16" t="n">
        <x:f>COUNTIFS('逐条表现'!$F$7:$F$196,"火天大有",'逐条表现'!$G$7:$G$196,"15m",'逐条表现'!$AH$7:$AH$196,DATE(2026,09,10),'逐条表现'!$R$7:$R$196,"&gt;0",'逐条表现'!$S$7:$S$196,"&gt;0")</x:f>
        <x:v>0</x:v>
      </x:c>
      <x:c r="K85" s="16" t="n">
        <x:f>COUNTIFS('逐条表现'!$F$7:$F$196,"火天大有",'逐条表现'!$G$7:$G$196,"15m",'逐条表现'!$AH$7:$AH$196,DATE(2026,09,10),'逐条表现'!$R$7:$R$196,"&gt;0")</x:f>
        <x:v>0</x:v>
      </x:c>
      <x:c r="L85" s="17" t="str">
        <x:f>IF(K85=0,"",J85/K85)</x:f>
      </x:c>
      <x:c r="M85" s="5" t="str">
        <x:f>IF(K85=0,"",SUMIFS('逐条表现'!$S$7:$S$196,'逐条表现'!$F$7:$F$196,"火天大有",'逐条表现'!$G$7:$G$196,"15m",'逐条表现'!$AH$7:$AH$196,DATE(2026,09,10))/K85)</x:f>
      </x:c>
      <x:c r="N85" s="16" t="n">
        <x:f>C85-K85-COUNTIFS('逐条表现'!$F$7:$F$196,"火天大有",'逐条表现'!$G$7:$G$196,"15m",'逐条表现'!$AH$7:$AH$196,DATE(2026,09,10),'逐条表现'!$AK$7:$AK$196,"待观察")</x:f>
        <x:v>1</x:v>
      </x:c>
      <x:c r="O85" s="16" t="n">
        <x:f>COUNTIFS('逐条表现'!$F$7:$F$196,"火天大有",'逐条表现'!$G$7:$G$196,"15m",'逐条表现'!$AH$7:$AH$196,DATE(2026,09,10),'逐条表现'!$N$7:$N$196,"&gt;0",'逐条表现'!$O$7:$O$196,"&lt;0")</x:f>
        <x:v>0</x:v>
      </x:c>
      <x:c r="P85" s="16" t="n">
        <x:f>COUNTIFS('逐条表现'!$F$7:$F$196,"火天大有",'逐条表现'!$G$7:$G$196,"15m",'逐条表现'!$AH$7:$AH$196,DATE(2026,09,10),'逐条表现'!$N$7:$N$196,"&gt;0",'逐条表现'!$O$7:$O$196,"=0")</x:f>
        <x:v>0</x:v>
      </x:c>
      <x:c r="Q85" s="16" t="n">
        <x:f>COUNTIFS('逐条表现'!$F$7:$F$196,"火天大有",'逐条表现'!$G$7:$G$196,"15m",'逐条表现'!$AH$7:$AH$196,DATE(2026,09,10),'逐条表现'!$P$7:$P$196,"&gt;0",'逐条表现'!$Q$7:$Q$196,"&lt;0")</x:f>
        <x:v>0</x:v>
      </x:c>
      <x:c r="R85" s="16" t="n">
        <x:f>COUNTIFS('逐条表现'!$F$7:$F$196,"火天大有",'逐条表现'!$G$7:$G$196,"15m",'逐条表现'!$AH$7:$AH$196,DATE(2026,09,10),'逐条表现'!$P$7:$P$196,"&gt;0",'逐条表现'!$Q$7:$Q$196,"=0")</x:f>
        <x:v>0</x:v>
      </x:c>
      <x:c r="S85" s="16" t="n">
        <x:f>COUNTIFS('逐条表现'!$F$7:$F$196,"火天大有",'逐条表现'!$G$7:$G$196,"15m",'逐条表现'!$AH$7:$AH$196,DATE(2026,09,10),'逐条表现'!$R$7:$R$196,"&gt;0",'逐条表现'!$S$7:$S$196,"&lt;0")</x:f>
        <x:v>0</x:v>
      </x:c>
      <x:c r="T85" s="16" t="n">
        <x:f>COUNTIFS('逐条表现'!$F$7:$F$196,"火天大有",'逐条表现'!$G$7:$G$196,"15m",'逐条表现'!$AH$7:$AH$196,DATE(2026,09,10),'逐条表现'!$R$7:$R$196,"&gt;0",'逐条表现'!$S$7:$S$196,"=0")</x:f>
        <x:v>0</x:v>
      </x:c>
      <x:c r="U85" s="5" t="str">
        <x:f>IF(E85=0,"",SUMIFS('逐条表现'!$O$7:$O$196,'逐条表现'!$F$7:$F$196,"火天大有",'逐条表现'!$G$7:$G$196,"15m",'逐条表现'!$AH$7:$AH$196,DATE(2026,09,10))/E85)</x:f>
      </x:c>
      <x:c r="V85" s="5" t="str">
        <x:f>IF(H85=0,"",SUMIFS('逐条表现'!$Q$7:$Q$196,'逐条表现'!$F$7:$F$196,"火天大有",'逐条表现'!$G$7:$G$196,"15m",'逐条表现'!$AH$7:$AH$196,DATE(2026,09,10))/H85)</x:f>
      </x:c>
      <x:c r="W85" s="16" t="n">
        <x:f>C85-K85-N85</x:f>
        <x:v>0</x:v>
      </x:c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</x:row>
    <x:row r="86" ht="27" customHeight="1">
      <x:c r="A86" s="2" t="str">
        <x:v>2026-09-10 火天大有</x:v>
      </x:c>
      <x:c r="B86" s="2" t="str">
        <x:v>5m</x:v>
      </x:c>
      <x:c r="C86" s="16" t="n">
        <x:f>COUNTIFS('逐条表现'!$F$7:$F$196,"火天大有",'逐条表现'!$G$7:$G$196,"5m",'逐条表现'!$AH$7:$AH$196,DATE(2026,09,10))</x:f>
        <x:v>1</x:v>
      </x:c>
      <x:c r="D86" s="16" t="n">
        <x:f>COUNTIFS('逐条表现'!$F$7:$F$196,"火天大有",'逐条表现'!$G$7:$G$196,"5m",'逐条表现'!$AH$7:$AH$196,DATE(2026,09,10),'逐条表现'!$N$7:$N$196,"&gt;0",'逐条表现'!$O$7:$O$196,"&gt;0")</x:f>
        <x:v>0</x:v>
      </x:c>
      <x:c r="E86" s="16" t="n">
        <x:f>COUNTIFS('逐条表现'!$F$7:$F$196,"火天大有",'逐条表现'!$G$7:$G$196,"5m",'逐条表现'!$AH$7:$AH$196,DATE(2026,09,10),'逐条表现'!$N$7:$N$196,"&gt;0")</x:f>
        <x:v>0</x:v>
      </x:c>
      <x:c r="F86" s="17" t="str">
        <x:f>IF(E86=0,"",D86/E86)</x:f>
      </x:c>
      <x:c r="G86" s="16" t="n">
        <x:f>COUNTIFS('逐条表现'!$F$7:$F$196,"火天大有",'逐条表现'!$G$7:$G$196,"5m",'逐条表现'!$AH$7:$AH$196,DATE(2026,09,10),'逐条表现'!$P$7:$P$196,"&gt;0",'逐条表现'!$Q$7:$Q$196,"&gt;0")</x:f>
        <x:v>0</x:v>
      </x:c>
      <x:c r="H86" s="16" t="n">
        <x:f>COUNTIFS('逐条表现'!$F$7:$F$196,"火天大有",'逐条表现'!$G$7:$G$196,"5m",'逐条表现'!$AH$7:$AH$196,DATE(2026,09,10),'逐条表现'!$P$7:$P$196,"&gt;0")</x:f>
        <x:v>0</x:v>
      </x:c>
      <x:c r="I86" s="17" t="str">
        <x:f>IF(H86=0,"",G86/H86)</x:f>
      </x:c>
      <x:c r="J86" s="16" t="n">
        <x:f>COUNTIFS('逐条表现'!$F$7:$F$196,"火天大有",'逐条表现'!$G$7:$G$196,"5m",'逐条表现'!$AH$7:$AH$196,DATE(2026,09,10),'逐条表现'!$R$7:$R$196,"&gt;0",'逐条表现'!$S$7:$S$196,"&gt;0")</x:f>
        <x:v>0</x:v>
      </x:c>
      <x:c r="K86" s="16" t="n">
        <x:f>COUNTIFS('逐条表现'!$F$7:$F$196,"火天大有",'逐条表现'!$G$7:$G$196,"5m",'逐条表现'!$AH$7:$AH$196,DATE(2026,09,10),'逐条表现'!$R$7:$R$196,"&gt;0")</x:f>
        <x:v>0</x:v>
      </x:c>
      <x:c r="L86" s="17" t="str">
        <x:f>IF(K86=0,"",J86/K86)</x:f>
      </x:c>
      <x:c r="M86" s="5" t="str">
        <x:f>IF(K86=0,"",SUMIFS('逐条表现'!$S$7:$S$196,'逐条表现'!$F$7:$F$196,"火天大有",'逐条表现'!$G$7:$G$196,"5m",'逐条表现'!$AH$7:$AH$196,DATE(2026,09,10))/K86)</x:f>
      </x:c>
      <x:c r="N86" s="16" t="n">
        <x:f>C86-K86-COUNTIFS('逐条表现'!$F$7:$F$196,"火天大有",'逐条表现'!$G$7:$G$196,"5m",'逐条表现'!$AH$7:$AH$196,DATE(2026,09,10),'逐条表现'!$AK$7:$AK$196,"待观察")</x:f>
        <x:v>1</x:v>
      </x:c>
      <x:c r="O86" s="16" t="n">
        <x:f>COUNTIFS('逐条表现'!$F$7:$F$196,"火天大有",'逐条表现'!$G$7:$G$196,"5m",'逐条表现'!$AH$7:$AH$196,DATE(2026,09,10),'逐条表现'!$N$7:$N$196,"&gt;0",'逐条表现'!$O$7:$O$196,"&lt;0")</x:f>
        <x:v>0</x:v>
      </x:c>
      <x:c r="P86" s="16" t="n">
        <x:f>COUNTIFS('逐条表现'!$F$7:$F$196,"火天大有",'逐条表现'!$G$7:$G$196,"5m",'逐条表现'!$AH$7:$AH$196,DATE(2026,09,10),'逐条表现'!$N$7:$N$196,"&gt;0",'逐条表现'!$O$7:$O$196,"=0")</x:f>
        <x:v>0</x:v>
      </x:c>
      <x:c r="Q86" s="16" t="n">
        <x:f>COUNTIFS('逐条表现'!$F$7:$F$196,"火天大有",'逐条表现'!$G$7:$G$196,"5m",'逐条表现'!$AH$7:$AH$196,DATE(2026,09,10),'逐条表现'!$P$7:$P$196,"&gt;0",'逐条表现'!$Q$7:$Q$196,"&lt;0")</x:f>
        <x:v>0</x:v>
      </x:c>
      <x:c r="R86" s="16" t="n">
        <x:f>COUNTIFS('逐条表现'!$F$7:$F$196,"火天大有",'逐条表现'!$G$7:$G$196,"5m",'逐条表现'!$AH$7:$AH$196,DATE(2026,09,10),'逐条表现'!$P$7:$P$196,"&gt;0",'逐条表现'!$Q$7:$Q$196,"=0")</x:f>
        <x:v>0</x:v>
      </x:c>
      <x:c r="S86" s="16" t="n">
        <x:f>COUNTIFS('逐条表现'!$F$7:$F$196,"火天大有",'逐条表现'!$G$7:$G$196,"5m",'逐条表现'!$AH$7:$AH$196,DATE(2026,09,10),'逐条表现'!$R$7:$R$196,"&gt;0",'逐条表现'!$S$7:$S$196,"&lt;0")</x:f>
        <x:v>0</x:v>
      </x:c>
      <x:c r="T86" s="16" t="n">
        <x:f>COUNTIFS('逐条表现'!$F$7:$F$196,"火天大有",'逐条表现'!$G$7:$G$196,"5m",'逐条表现'!$AH$7:$AH$196,DATE(2026,09,10),'逐条表现'!$R$7:$R$196,"&gt;0",'逐条表现'!$S$7:$S$196,"=0")</x:f>
        <x:v>0</x:v>
      </x:c>
      <x:c r="U86" s="5" t="str">
        <x:f>IF(E86=0,"",SUMIFS('逐条表现'!$O$7:$O$196,'逐条表现'!$F$7:$F$196,"火天大有",'逐条表现'!$G$7:$G$196,"5m",'逐条表现'!$AH$7:$AH$196,DATE(2026,09,10))/E86)</x:f>
      </x:c>
      <x:c r="V86" s="5" t="str">
        <x:f>IF(H86=0,"",SUMIFS('逐条表现'!$Q$7:$Q$196,'逐条表现'!$F$7:$F$196,"火天大有",'逐条表现'!$G$7:$G$196,"5m",'逐条表现'!$AH$7:$AH$196,DATE(2026,09,10))/H86)</x:f>
      </x:c>
      <x:c r="W86" s="16" t="n">
        <x:f>C86-K86-N86</x:f>
        <x:v>0</x:v>
      </x:c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</x:row>
    <x:row r="87" ht="27" customHeight="1">
      <x:c r="A87" s="2" t="str">
        <x:v>2026-09-10 苏冰</x:v>
      </x:c>
      <x:c r="B87" s="2" t="str">
        <x:v>15m</x:v>
      </x:c>
      <x:c r="C87" s="16" t="n">
        <x:f>COUNTIFS('逐条表现'!$F$7:$F$196,"苏冰",'逐条表现'!$G$7:$G$196,"15m",'逐条表现'!$AH$7:$AH$196,DATE(2026,09,10))</x:f>
        <x:v>47</x:v>
      </x:c>
      <x:c r="D87" s="16" t="n">
        <x:f>COUNTIFS('逐条表现'!$F$7:$F$196,"苏冰",'逐条表现'!$G$7:$G$196,"15m",'逐条表现'!$AH$7:$AH$196,DATE(2026,09,10),'逐条表现'!$N$7:$N$196,"&gt;0",'逐条表现'!$O$7:$O$196,"&gt;0")</x:f>
        <x:v>0</x:v>
      </x:c>
      <x:c r="E87" s="16" t="n">
        <x:f>COUNTIFS('逐条表现'!$F$7:$F$196,"苏冰",'逐条表现'!$G$7:$G$196,"15m",'逐条表现'!$AH$7:$AH$196,DATE(2026,09,10),'逐条表现'!$N$7:$N$196,"&gt;0")</x:f>
        <x:v>0</x:v>
      </x:c>
      <x:c r="F87" s="17" t="str">
        <x:f>IF(E87=0,"",D87/E87)</x:f>
      </x:c>
      <x:c r="G87" s="16" t="n">
        <x:f>COUNTIFS('逐条表现'!$F$7:$F$196,"苏冰",'逐条表现'!$G$7:$G$196,"15m",'逐条表现'!$AH$7:$AH$196,DATE(2026,09,10),'逐条表现'!$P$7:$P$196,"&gt;0",'逐条表现'!$Q$7:$Q$196,"&gt;0")</x:f>
        <x:v>0</x:v>
      </x:c>
      <x:c r="H87" s="16" t="n">
        <x:f>COUNTIFS('逐条表现'!$F$7:$F$196,"苏冰",'逐条表现'!$G$7:$G$196,"15m",'逐条表现'!$AH$7:$AH$196,DATE(2026,09,10),'逐条表现'!$P$7:$P$196,"&gt;0")</x:f>
        <x:v>0</x:v>
      </x:c>
      <x:c r="I87" s="17" t="str">
        <x:f>IF(H87=0,"",G87/H87)</x:f>
      </x:c>
      <x:c r="J87" s="16" t="n">
        <x:f>COUNTIFS('逐条表现'!$F$7:$F$196,"苏冰",'逐条表现'!$G$7:$G$196,"15m",'逐条表现'!$AH$7:$AH$196,DATE(2026,09,10),'逐条表现'!$R$7:$R$196,"&gt;0",'逐条表现'!$S$7:$S$196,"&gt;0")</x:f>
        <x:v>0</x:v>
      </x:c>
      <x:c r="K87" s="16" t="n">
        <x:f>COUNTIFS('逐条表现'!$F$7:$F$196,"苏冰",'逐条表现'!$G$7:$G$196,"15m",'逐条表现'!$AH$7:$AH$196,DATE(2026,09,10),'逐条表现'!$R$7:$R$196,"&gt;0")</x:f>
        <x:v>0</x:v>
      </x:c>
      <x:c r="L87" s="17" t="str">
        <x:f>IF(K87=0,"",J87/K87)</x:f>
      </x:c>
      <x:c r="M87" s="5" t="str">
        <x:f>IF(K87=0,"",SUMIFS('逐条表现'!$S$7:$S$196,'逐条表现'!$F$7:$F$196,"苏冰",'逐条表现'!$G$7:$G$196,"15m",'逐条表现'!$AH$7:$AH$196,DATE(2026,09,10))/K87)</x:f>
      </x:c>
      <x:c r="N87" s="16" t="n">
        <x:f>C87-K87-COUNTIFS('逐条表现'!$F$7:$F$196,"苏冰",'逐条表现'!$G$7:$G$196,"15m",'逐条表现'!$AH$7:$AH$196,DATE(2026,09,10),'逐条表现'!$AK$7:$AK$196,"待观察")</x:f>
        <x:v>47</x:v>
      </x:c>
      <x:c r="O87" s="16" t="n">
        <x:f>COUNTIFS('逐条表现'!$F$7:$F$196,"苏冰",'逐条表现'!$G$7:$G$196,"15m",'逐条表现'!$AH$7:$AH$196,DATE(2026,09,10),'逐条表现'!$N$7:$N$196,"&gt;0",'逐条表现'!$O$7:$O$196,"&lt;0")</x:f>
        <x:v>0</x:v>
      </x:c>
      <x:c r="P87" s="16" t="n">
        <x:f>COUNTIFS('逐条表现'!$F$7:$F$196,"苏冰",'逐条表现'!$G$7:$G$196,"15m",'逐条表现'!$AH$7:$AH$196,DATE(2026,09,10),'逐条表现'!$N$7:$N$196,"&gt;0",'逐条表现'!$O$7:$O$196,"=0")</x:f>
        <x:v>0</x:v>
      </x:c>
      <x:c r="Q87" s="16" t="n">
        <x:f>COUNTIFS('逐条表现'!$F$7:$F$196,"苏冰",'逐条表现'!$G$7:$G$196,"15m",'逐条表现'!$AH$7:$AH$196,DATE(2026,09,10),'逐条表现'!$P$7:$P$196,"&gt;0",'逐条表现'!$Q$7:$Q$196,"&lt;0")</x:f>
        <x:v>0</x:v>
      </x:c>
      <x:c r="R87" s="16" t="n">
        <x:f>COUNTIFS('逐条表现'!$F$7:$F$196,"苏冰",'逐条表现'!$G$7:$G$196,"15m",'逐条表现'!$AH$7:$AH$196,DATE(2026,09,10),'逐条表现'!$P$7:$P$196,"&gt;0",'逐条表现'!$Q$7:$Q$196,"=0")</x:f>
        <x:v>0</x:v>
      </x:c>
      <x:c r="S87" s="16" t="n">
        <x:f>COUNTIFS('逐条表现'!$F$7:$F$196,"苏冰",'逐条表现'!$G$7:$G$196,"15m",'逐条表现'!$AH$7:$AH$196,DATE(2026,09,10),'逐条表现'!$R$7:$R$196,"&gt;0",'逐条表现'!$S$7:$S$196,"&lt;0")</x:f>
        <x:v>0</x:v>
      </x:c>
      <x:c r="T87" s="16" t="n">
        <x:f>COUNTIFS('逐条表现'!$F$7:$F$196,"苏冰",'逐条表现'!$G$7:$G$196,"15m",'逐条表现'!$AH$7:$AH$196,DATE(2026,09,10),'逐条表现'!$R$7:$R$196,"&gt;0",'逐条表现'!$S$7:$S$196,"=0")</x:f>
        <x:v>0</x:v>
      </x:c>
      <x:c r="U87" s="5" t="str">
        <x:f>IF(E87=0,"",SUMIFS('逐条表现'!$O$7:$O$196,'逐条表现'!$F$7:$F$196,"苏冰",'逐条表现'!$G$7:$G$196,"15m",'逐条表现'!$AH$7:$AH$196,DATE(2026,09,10))/E87)</x:f>
      </x:c>
      <x:c r="V87" s="5" t="str">
        <x:f>IF(H87=0,"",SUMIFS('逐条表现'!$Q$7:$Q$196,'逐条表现'!$F$7:$F$196,"苏冰",'逐条表现'!$G$7:$G$196,"15m",'逐条表现'!$AH$7:$AH$196,DATE(2026,09,10))/H87)</x:f>
      </x:c>
      <x:c r="W87" s="16" t="n">
        <x:f>C87-K87-N87</x:f>
        <x:v>0</x:v>
      </x:c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</x:row>
    <x:row r="88" ht="27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</x:row>
    <x:row r="89" ht="27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</x:row>
    <x:row r="90" ht="27" customHeight="1">
      <x:c r="A90" s="15" t="str">
        <x:v>本周多空表现</x:v>
      </x:c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</x:row>
    <x:row r="91" ht="38" customHeight="1">
      <x:c r="A91" s="9" t="str">
        <x:v>策略/品种</x:v>
      </x:c>
      <x:c r="B91" s="9" t="str">
        <x:v>信号周期</x:v>
      </x:c>
      <x:c r="C91" s="9" t="str">
        <x:v>总条数</x:v>
      </x:c>
      <x:c r="D91" s="9" t="str">
        <x:v>15m有利</x:v>
      </x:c>
      <x:c r="E91" s="9" t="str">
        <x:v>15m样本</x:v>
      </x:c>
      <x:c r="F91" s="9" t="str">
        <x:v>15m比例</x:v>
      </x:c>
      <x:c r="G91" s="9" t="str">
        <x:v>30m有利</x:v>
      </x:c>
      <x:c r="H91" s="9" t="str">
        <x:v>30m样本</x:v>
      </x:c>
      <x:c r="I91" s="9" t="str">
        <x:v>30m比例</x:v>
      </x:c>
      <x:c r="J91" s="9" t="str">
        <x:v>60m有利</x:v>
      </x:c>
      <x:c r="K91" s="9" t="str">
        <x:v>60m样本</x:v>
      </x:c>
      <x:c r="L91" s="9" t="str">
        <x:v>60m比例</x:v>
      </x:c>
      <x:c r="M91" s="9" t="str">
        <x:v>60m均变</x:v>
      </x:c>
      <x:c r="N91" s="9" t="str">
        <x:v>60m缺数据</x:v>
      </x:c>
      <x:c r="O91" s="9" t="str">
        <x:v>15m不利</x:v>
      </x:c>
      <x:c r="P91" s="9" t="str">
        <x:v>15m持平</x:v>
      </x:c>
      <x:c r="Q91" s="9" t="str">
        <x:v>30m不利</x:v>
      </x:c>
      <x:c r="R91" s="9" t="str">
        <x:v>30m持平</x:v>
      </x:c>
      <x:c r="S91" s="9" t="str">
        <x:v>60m不利</x:v>
      </x:c>
      <x:c r="T91" s="9" t="str">
        <x:v>60m持平</x:v>
      </x:c>
      <x:c r="U91" s="9" t="str">
        <x:v>15m均变</x:v>
      </x:c>
      <x:c r="V91" s="9" t="str">
        <x:v>30m均变</x:v>
      </x:c>
      <x:c r="W91" s="9" t="str">
        <x:v>60m待观察</x:v>
      </x:c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</x:row>
    <x:row r="92" ht="27" customHeight="1">
      <x:c r="A92" s="2" t="str">
        <x:v>火天大有 多头</x:v>
      </x:c>
      <x:c r="B92" s="2" t="str">
        <x:v>15m</x:v>
      </x:c>
      <x:c r="C92" s="16" t="n">
        <x:f>COUNTIFS('逐条表现'!$F$7:$F$196,"火天大有",'逐条表现'!$G$7:$G$196,"15m",'逐条表现'!$H$7:$H$196,"多头")</x:f>
        <x:v>4</x:v>
      </x:c>
      <x:c r="D92" s="16" t="n">
        <x:f>COUNTIFS('逐条表现'!$F$7:$F$196,"火天大有",'逐条表现'!$G$7:$G$196,"15m",'逐条表现'!$H$7:$H$196,"多头",'逐条表现'!$N$7:$N$196,"&gt;0",'逐条表现'!$O$7:$O$196,"&gt;0")</x:f>
        <x:v>0</x:v>
      </x:c>
      <x:c r="E92" s="16" t="n">
        <x:f>COUNTIFS('逐条表现'!$F$7:$F$196,"火天大有",'逐条表现'!$G$7:$G$196,"15m",'逐条表现'!$H$7:$H$196,"多头",'逐条表现'!$N$7:$N$196,"&gt;0")</x:f>
        <x:v>1</x:v>
      </x:c>
      <x:c r="F92" s="17" t="n">
        <x:f>IF(E92=0,"",D92/E92)</x:f>
        <x:v>0</x:v>
      </x:c>
      <x:c r="G92" s="16" t="n">
        <x:f>COUNTIFS('逐条表现'!$F$7:$F$196,"火天大有",'逐条表现'!$G$7:$G$196,"15m",'逐条表现'!$H$7:$H$196,"多头",'逐条表现'!$P$7:$P$196,"&gt;0",'逐条表现'!$Q$7:$Q$196,"&gt;0")</x:f>
        <x:v>0</x:v>
      </x:c>
      <x:c r="H92" s="16" t="n">
        <x:f>COUNTIFS('逐条表现'!$F$7:$F$196,"火天大有",'逐条表现'!$G$7:$G$196,"15m",'逐条表现'!$H$7:$H$196,"多头",'逐条表现'!$P$7:$P$196,"&gt;0")</x:f>
        <x:v>1</x:v>
      </x:c>
      <x:c r="I92" s="17" t="n">
        <x:f>IF(H92=0,"",G92/H92)</x:f>
        <x:v>0</x:v>
      </x:c>
      <x:c r="J92" s="16" t="n">
        <x:f>COUNTIFS('逐条表现'!$F$7:$F$196,"火天大有",'逐条表现'!$G$7:$G$196,"15m",'逐条表现'!$H$7:$H$196,"多头",'逐条表现'!$R$7:$R$196,"&gt;0",'逐条表现'!$S$7:$S$196,"&gt;0")</x:f>
        <x:v>0</x:v>
      </x:c>
      <x:c r="K92" s="16" t="n">
        <x:f>COUNTIFS('逐条表现'!$F$7:$F$196,"火天大有",'逐条表现'!$G$7:$G$196,"15m",'逐条表现'!$H$7:$H$196,"多头",'逐条表现'!$R$7:$R$196,"&gt;0")</x:f>
        <x:v>1</x:v>
      </x:c>
      <x:c r="L92" s="17" t="n">
        <x:f>IF(K92=0,"",J92/K92)</x:f>
        <x:v>0</x:v>
      </x:c>
      <x:c r="M92" s="5" t="n">
        <x:f>IF(K92=0,"",SUMIFS('逐条表现'!$S$7:$S$196,'逐条表现'!$F$7:$F$196,"火天大有",'逐条表现'!$G$7:$G$196,"15m",'逐条表现'!$H$7:$H$196,"多头")/K92)</x:f>
        <x:v>-0.004311672312904191</x:v>
      </x:c>
      <x:c r="N92" s="16" t="n">
        <x:f>C92-K92-COUNTIFS('逐条表现'!$F$7:$F$196,"火天大有",'逐条表现'!$G$7:$G$196,"15m",'逐条表现'!$H$7:$H$196,"多头",'逐条表现'!$AK$7:$AK$196,"待观察")</x:f>
        <x:v>3</x:v>
      </x:c>
      <x:c r="O92" s="16" t="n">
        <x:f>COUNTIFS('逐条表现'!$F$7:$F$196,"火天大有",'逐条表现'!$G$7:$G$196,"15m",'逐条表现'!$H$7:$H$196,"多头",'逐条表现'!$N$7:$N$196,"&gt;0",'逐条表现'!$O$7:$O$196,"&lt;0")</x:f>
        <x:v>1</x:v>
      </x:c>
      <x:c r="P92" s="16" t="n">
        <x:f>COUNTIFS('逐条表现'!$F$7:$F$196,"火天大有",'逐条表现'!$G$7:$G$196,"15m",'逐条表现'!$H$7:$H$196,"多头",'逐条表现'!$N$7:$N$196,"&gt;0",'逐条表现'!$O$7:$O$196,"=0")</x:f>
        <x:v>0</x:v>
      </x:c>
      <x:c r="Q92" s="16" t="n">
        <x:f>COUNTIFS('逐条表现'!$F$7:$F$196,"火天大有",'逐条表现'!$G$7:$G$196,"15m",'逐条表现'!$H$7:$H$196,"多头",'逐条表现'!$P$7:$P$196,"&gt;0",'逐条表现'!$Q$7:$Q$196,"&lt;0")</x:f>
        <x:v>1</x:v>
      </x:c>
      <x:c r="R92" s="16" t="n">
        <x:f>COUNTIFS('逐条表现'!$F$7:$F$196,"火天大有",'逐条表现'!$G$7:$G$196,"15m",'逐条表现'!$H$7:$H$196,"多头",'逐条表现'!$P$7:$P$196,"&gt;0",'逐条表现'!$Q$7:$Q$196,"=0")</x:f>
        <x:v>0</x:v>
      </x:c>
      <x:c r="S92" s="16" t="n">
        <x:f>COUNTIFS('逐条表现'!$F$7:$F$196,"火天大有",'逐条表现'!$G$7:$G$196,"15m",'逐条表现'!$H$7:$H$196,"多头",'逐条表现'!$R$7:$R$196,"&gt;0",'逐条表现'!$S$7:$S$196,"&lt;0")</x:f>
        <x:v>1</x:v>
      </x:c>
      <x:c r="T92" s="16" t="n">
        <x:f>COUNTIFS('逐条表现'!$F$7:$F$196,"火天大有",'逐条表现'!$G$7:$G$196,"15m",'逐条表现'!$H$7:$H$196,"多头",'逐条表现'!$R$7:$R$196,"&gt;0",'逐条表现'!$S$7:$S$196,"=0")</x:f>
        <x:v>0</x:v>
      </x:c>
      <x:c r="U92" s="5" t="n">
        <x:f>IF(E92=0,"",SUMIFS('逐条表现'!$O$7:$O$196,'逐条表现'!$F$7:$F$196,"火天大有",'逐条表现'!$G$7:$G$196,"15m",'逐条表现'!$H$7:$H$196,"多头")/E92)</x:f>
        <x:v>-0.008623344625808493</x:v>
      </x:c>
      <x:c r="V92" s="5" t="n">
        <x:f>IF(H92=0,"",SUMIFS('逐条表现'!$Q$7:$Q$196,'逐条表现'!$F$7:$F$196,"火天大有",'逐条表现'!$G$7:$G$196,"15m",'逐条表现'!$H$7:$H$196,"多头")/H92)</x:f>
        <x:v>-0.004619648906683094</x:v>
      </x:c>
      <x:c r="W92" s="16" t="n">
        <x:f>C92-K92-N92</x:f>
        <x:v>0</x:v>
      </x:c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</x:row>
    <x:row r="93" ht="27" customHeight="1">
      <x:c r="A93" s="2" t="str">
        <x:v>火天大有 空头</x:v>
      </x:c>
      <x:c r="B93" s="2" t="str">
        <x:v>15m</x:v>
      </x:c>
      <x:c r="C93" s="16" t="n">
        <x:f>COUNTIFS('逐条表现'!$F$7:$F$196,"火天大有",'逐条表现'!$G$7:$G$196,"15m",'逐条表现'!$H$7:$H$196,"空头")</x:f>
        <x:v>3</x:v>
      </x:c>
      <x:c r="D93" s="16" t="n">
        <x:f>COUNTIFS('逐条表现'!$F$7:$F$196,"火天大有",'逐条表现'!$G$7:$G$196,"15m",'逐条表现'!$H$7:$H$196,"空头",'逐条表现'!$N$7:$N$196,"&gt;0",'逐条表现'!$O$7:$O$196,"&gt;0")</x:f>
        <x:v>1</x:v>
      </x:c>
      <x:c r="E93" s="16" t="n">
        <x:f>COUNTIFS('逐条表现'!$F$7:$F$196,"火天大有",'逐条表现'!$G$7:$G$196,"15m",'逐条表现'!$H$7:$H$196,"空头",'逐条表现'!$N$7:$N$196,"&gt;0")</x:f>
        <x:v>2</x:v>
      </x:c>
      <x:c r="F93" s="17" t="n">
        <x:f>IF(E93=0,"",D93/E93)</x:f>
        <x:v>0.5</x:v>
      </x:c>
      <x:c r="G93" s="16" t="n">
        <x:f>COUNTIFS('逐条表现'!$F$7:$F$196,"火天大有",'逐条表现'!$G$7:$G$196,"15m",'逐条表现'!$H$7:$H$196,"空头",'逐条表现'!$P$7:$P$196,"&gt;0",'逐条表现'!$Q$7:$Q$196,"&gt;0")</x:f>
        <x:v>1</x:v>
      </x:c>
      <x:c r="H93" s="16" t="n">
        <x:f>COUNTIFS('逐条表现'!$F$7:$F$196,"火天大有",'逐条表现'!$G$7:$G$196,"15m",'逐条表现'!$H$7:$H$196,"空头",'逐条表现'!$P$7:$P$196,"&gt;0")</x:f>
        <x:v>2</x:v>
      </x:c>
      <x:c r="I93" s="17" t="n">
        <x:f>IF(H93=0,"",G93/H93)</x:f>
        <x:v>0.5</x:v>
      </x:c>
      <x:c r="J93" s="16" t="n">
        <x:f>COUNTIFS('逐条表现'!$F$7:$F$196,"火天大有",'逐条表现'!$G$7:$G$196,"15m",'逐条表现'!$H$7:$H$196,"空头",'逐条表现'!$R$7:$R$196,"&gt;0",'逐条表现'!$S$7:$S$196,"&gt;0")</x:f>
        <x:v>2</x:v>
      </x:c>
      <x:c r="K93" s="16" t="n">
        <x:f>COUNTIFS('逐条表现'!$F$7:$F$196,"火天大有",'逐条表现'!$G$7:$G$196,"15m",'逐条表现'!$H$7:$H$196,"空头",'逐条表现'!$R$7:$R$196,"&gt;0")</x:f>
        <x:v>2</x:v>
      </x:c>
      <x:c r="L93" s="17" t="n">
        <x:f>IF(K93=0,"",J93/K93)</x:f>
        <x:v>1</x:v>
      </x:c>
      <x:c r="M93" s="5" t="n">
        <x:f>IF(K93=0,"",SUMIFS('逐条表现'!$S$7:$S$196,'逐条表现'!$F$7:$F$196,"火天大有",'逐条表现'!$G$7:$G$196,"15m",'逐条表现'!$H$7:$H$196,"空头")/K93)</x:f>
        <x:v>0.0023944507130873594</x:v>
      </x:c>
      <x:c r="N93" s="16" t="n">
        <x:f>C93-K93-COUNTIFS('逐条表现'!$F$7:$F$196,"火天大有",'逐条表现'!$G$7:$G$196,"15m",'逐条表现'!$H$7:$H$196,"空头",'逐条表现'!$AK$7:$AK$196,"待观察")</x:f>
        <x:v>1</x:v>
      </x:c>
      <x:c r="O93" s="16" t="n">
        <x:f>COUNTIFS('逐条表现'!$F$7:$F$196,"火天大有",'逐条表现'!$G$7:$G$196,"15m",'逐条表现'!$H$7:$H$196,"空头",'逐条表现'!$N$7:$N$196,"&gt;0",'逐条表现'!$O$7:$O$196,"&lt;0")</x:f>
        <x:v>1</x:v>
      </x:c>
      <x:c r="P93" s="16" t="n">
        <x:f>COUNTIFS('逐条表现'!$F$7:$F$196,"火天大有",'逐条表现'!$G$7:$G$196,"15m",'逐条表现'!$H$7:$H$196,"空头",'逐条表现'!$N$7:$N$196,"&gt;0",'逐条表现'!$O$7:$O$196,"=0")</x:f>
        <x:v>0</x:v>
      </x:c>
      <x:c r="Q93" s="16" t="n">
        <x:f>COUNTIFS('逐条表现'!$F$7:$F$196,"火天大有",'逐条表现'!$G$7:$G$196,"15m",'逐条表现'!$H$7:$H$196,"空头",'逐条表现'!$P$7:$P$196,"&gt;0",'逐条表现'!$Q$7:$Q$196,"&lt;0")</x:f>
        <x:v>1</x:v>
      </x:c>
      <x:c r="R93" s="16" t="n">
        <x:f>COUNTIFS('逐条表现'!$F$7:$F$196,"火天大有",'逐条表现'!$G$7:$G$196,"15m",'逐条表现'!$H$7:$H$196,"空头",'逐条表现'!$P$7:$P$196,"&gt;0",'逐条表现'!$Q$7:$Q$196,"=0")</x:f>
        <x:v>0</x:v>
      </x:c>
      <x:c r="S93" s="16" t="n">
        <x:f>COUNTIFS('逐条表现'!$F$7:$F$196,"火天大有",'逐条表现'!$G$7:$G$196,"15m",'逐条表现'!$H$7:$H$196,"空头",'逐条表现'!$R$7:$R$196,"&gt;0",'逐条表现'!$S$7:$S$196,"&lt;0")</x:f>
        <x:v>0</x:v>
      </x:c>
      <x:c r="T93" s="16" t="n">
        <x:f>COUNTIFS('逐条表现'!$F$7:$F$196,"火天大有",'逐条表现'!$G$7:$G$196,"15m",'逐条表现'!$H$7:$H$196,"空头",'逐条表现'!$R$7:$R$196,"&gt;0",'逐条表现'!$S$7:$S$196,"=0")</x:f>
        <x:v>0</x:v>
      </x:c>
      <x:c r="U93" s="5" t="n">
        <x:f>IF(E93=0,"",SUMIFS('逐条表现'!$O$7:$O$196,'逐条表现'!$F$7:$F$196,"火天大有",'逐条表现'!$G$7:$G$196,"15m",'逐条表现'!$H$7:$H$196,"空头")/E93)</x:f>
        <x:v>-0.0012070060583690978</x:v>
      </x:c>
      <x:c r="V93" s="5" t="n">
        <x:f>IF(H93=0,"",SUMIFS('逐条表现'!$Q$7:$Q$196,'逐条表现'!$F$7:$F$196,"火天大有",'逐条表现'!$G$7:$G$196,"15m",'逐条表现'!$H$7:$H$196,"空头")/H93)</x:f>
        <x:v>0.0004434367848283327</x:v>
      </x:c>
      <x:c r="W93" s="16" t="n">
        <x:f>C93-K93-N93</x:f>
        <x:v>0</x:v>
      </x:c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</x:row>
    <x:row r="94" ht="27" customHeight="1">
      <x:c r="A94" s="2" t="str">
        <x:v>火天大有 多头</x:v>
      </x:c>
      <x:c r="B94" s="2" t="str">
        <x:v>5m</x:v>
      </x:c>
      <x:c r="C94" s="16" t="n">
        <x:f>COUNTIFS('逐条表现'!$F$7:$F$196,"火天大有",'逐条表现'!$G$7:$G$196,"5m",'逐条表现'!$H$7:$H$196,"多头")</x:f>
        <x:v>6</x:v>
      </x:c>
      <x:c r="D94" s="16" t="n">
        <x:f>COUNTIFS('逐条表现'!$F$7:$F$196,"火天大有",'逐条表现'!$G$7:$G$196,"5m",'逐条表现'!$H$7:$H$196,"多头",'逐条表现'!$N$7:$N$196,"&gt;0",'逐条表现'!$O$7:$O$196,"&gt;0")</x:f>
        <x:v>1</x:v>
      </x:c>
      <x:c r="E94" s="16" t="n">
        <x:f>COUNTIFS('逐条表现'!$F$7:$F$196,"火天大有",'逐条表现'!$G$7:$G$196,"5m",'逐条表现'!$H$7:$H$196,"多头",'逐条表现'!$N$7:$N$196,"&gt;0")</x:f>
        <x:v>2</x:v>
      </x:c>
      <x:c r="F94" s="17" t="n">
        <x:f>IF(E94=0,"",D94/E94)</x:f>
        <x:v>0.5</x:v>
      </x:c>
      <x:c r="G94" s="16" t="n">
        <x:f>COUNTIFS('逐条表现'!$F$7:$F$196,"火天大有",'逐条表现'!$G$7:$G$196,"5m",'逐条表现'!$H$7:$H$196,"多头",'逐条表现'!$P$7:$P$196,"&gt;0",'逐条表现'!$Q$7:$Q$196,"&gt;0")</x:f>
        <x:v>1</x:v>
      </x:c>
      <x:c r="H94" s="16" t="n">
        <x:f>COUNTIFS('逐条表现'!$F$7:$F$196,"火天大有",'逐条表现'!$G$7:$G$196,"5m",'逐条表现'!$H$7:$H$196,"多头",'逐条表现'!$P$7:$P$196,"&gt;0")</x:f>
        <x:v>2</x:v>
      </x:c>
      <x:c r="I94" s="17" t="n">
        <x:f>IF(H94=0,"",G94/H94)</x:f>
        <x:v>0.5</x:v>
      </x:c>
      <x:c r="J94" s="16" t="n">
        <x:f>COUNTIFS('逐条表现'!$F$7:$F$196,"火天大有",'逐条表现'!$G$7:$G$196,"5m",'逐条表现'!$H$7:$H$196,"多头",'逐条表现'!$R$7:$R$196,"&gt;0",'逐条表现'!$S$7:$S$196,"&gt;0")</x:f>
        <x:v>1</x:v>
      </x:c>
      <x:c r="K94" s="16" t="n">
        <x:f>COUNTIFS('逐条表现'!$F$7:$F$196,"火天大有",'逐条表现'!$G$7:$G$196,"5m",'逐条表现'!$H$7:$H$196,"多头",'逐条表现'!$R$7:$R$196,"&gt;0")</x:f>
        <x:v>2</x:v>
      </x:c>
      <x:c r="L94" s="17" t="n">
        <x:f>IF(K94=0,"",J94/K94)</x:f>
        <x:v>0.5</x:v>
      </x:c>
      <x:c r="M94" s="5" t="n">
        <x:f>IF(K94=0,"",SUMIFS('逐条表现'!$S$7:$S$196,'逐条表现'!$F$7:$F$196,"火天大有",'逐条表现'!$G$7:$G$196,"5m",'逐条表现'!$H$7:$H$196,"多头")/K94)</x:f>
        <x:v>-0.004011114689391526</x:v>
      </x:c>
      <x:c r="N94" s="16" t="n">
        <x:f>C94-K94-COUNTIFS('逐条表现'!$F$7:$F$196,"火天大有",'逐条表现'!$G$7:$G$196,"5m",'逐条表现'!$H$7:$H$196,"多头",'逐条表现'!$AK$7:$AK$196,"待观察")</x:f>
        <x:v>4</x:v>
      </x:c>
      <x:c r="O94" s="16" t="n">
        <x:f>COUNTIFS('逐条表现'!$F$7:$F$196,"火天大有",'逐条表现'!$G$7:$G$196,"5m",'逐条表现'!$H$7:$H$196,"多头",'逐条表现'!$N$7:$N$196,"&gt;0",'逐条表现'!$O$7:$O$196,"&lt;0")</x:f>
        <x:v>1</x:v>
      </x:c>
      <x:c r="P94" s="16" t="n">
        <x:f>COUNTIFS('逐条表现'!$F$7:$F$196,"火天大有",'逐条表现'!$G$7:$G$196,"5m",'逐条表现'!$H$7:$H$196,"多头",'逐条表现'!$N$7:$N$196,"&gt;0",'逐条表现'!$O$7:$O$196,"=0")</x:f>
        <x:v>0</x:v>
      </x:c>
      <x:c r="Q94" s="16" t="n">
        <x:f>COUNTIFS('逐条表现'!$F$7:$F$196,"火天大有",'逐条表现'!$G$7:$G$196,"5m",'逐条表现'!$H$7:$H$196,"多头",'逐条表现'!$P$7:$P$196,"&gt;0",'逐条表现'!$Q$7:$Q$196,"&lt;0")</x:f>
        <x:v>1</x:v>
      </x:c>
      <x:c r="R94" s="16" t="n">
        <x:f>COUNTIFS('逐条表现'!$F$7:$F$196,"火天大有",'逐条表现'!$G$7:$G$196,"5m",'逐条表现'!$H$7:$H$196,"多头",'逐条表现'!$P$7:$P$196,"&gt;0",'逐条表现'!$Q$7:$Q$196,"=0")</x:f>
        <x:v>0</x:v>
      </x:c>
      <x:c r="S94" s="16" t="n">
        <x:f>COUNTIFS('逐条表现'!$F$7:$F$196,"火天大有",'逐条表现'!$G$7:$G$196,"5m",'逐条表现'!$H$7:$H$196,"多头",'逐条表现'!$R$7:$R$196,"&gt;0",'逐条表现'!$S$7:$S$196,"&lt;0")</x:f>
        <x:v>1</x:v>
      </x:c>
      <x:c r="T94" s="16" t="n">
        <x:f>COUNTIFS('逐条表现'!$F$7:$F$196,"火天大有",'逐条表现'!$G$7:$G$196,"5m",'逐条表现'!$H$7:$H$196,"多头",'逐条表现'!$R$7:$R$196,"&gt;0",'逐条表现'!$S$7:$S$196,"=0")</x:f>
        <x:v>0</x:v>
      </x:c>
      <x:c r="U94" s="5" t="n">
        <x:f>IF(E94=0,"",SUMIFS('逐条表现'!$O$7:$O$196,'逐条表现'!$F$7:$F$196,"火天大有",'逐条表现'!$G$7:$G$196,"5m",'逐条表现'!$H$7:$H$196,"多头")/E94)</x:f>
        <x:v>0.003735449473304675</x:v>
      </x:c>
      <x:c r="V94" s="5" t="n">
        <x:f>IF(H94=0,"",SUMIFS('逐条表现'!$Q$7:$Q$196,'逐条表现'!$F$7:$F$196,"火天大有",'逐条表现'!$G$7:$G$196,"5m",'逐条表现'!$H$7:$H$196,"多头")/H94)</x:f>
        <x:v>-0.0033712906306856416</x:v>
      </x:c>
      <x:c r="W94" s="16" t="n">
        <x:f>C94-K94-N94</x:f>
        <x:v>0</x:v>
      </x:c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</x:row>
    <x:row r="95" ht="27" customHeight="1">
      <x:c r="A95" s="2" t="str">
        <x:v>火天大有 空头</x:v>
      </x:c>
      <x:c r="B95" s="2" t="str">
        <x:v>5m</x:v>
      </x:c>
      <x:c r="C95" s="16" t="n">
        <x:f>COUNTIFS('逐条表现'!$F$7:$F$196,"火天大有",'逐条表现'!$G$7:$G$196,"5m",'逐条表现'!$H$7:$H$196,"空头")</x:f>
        <x:v>7</x:v>
      </x:c>
      <x:c r="D95" s="16" t="n">
        <x:f>COUNTIFS('逐条表现'!$F$7:$F$196,"火天大有",'逐条表现'!$G$7:$G$196,"5m",'逐条表现'!$H$7:$H$196,"空头",'逐条表现'!$N$7:$N$196,"&gt;0",'逐条表现'!$O$7:$O$196,"&gt;0")</x:f>
        <x:v>2</x:v>
      </x:c>
      <x:c r="E95" s="16" t="n">
        <x:f>COUNTIFS('逐条表现'!$F$7:$F$196,"火天大有",'逐条表现'!$G$7:$G$196,"5m",'逐条表现'!$H$7:$H$196,"空头",'逐条表现'!$N$7:$N$196,"&gt;0")</x:f>
        <x:v>6</x:v>
      </x:c>
      <x:c r="F95" s="17" t="n">
        <x:f>IF(E95=0,"",D95/E95)</x:f>
        <x:v>0.3333333333333333</x:v>
      </x:c>
      <x:c r="G95" s="16" t="n">
        <x:f>COUNTIFS('逐条表现'!$F$7:$F$196,"火天大有",'逐条表现'!$G$7:$G$196,"5m",'逐条表现'!$H$7:$H$196,"空头",'逐条表现'!$P$7:$P$196,"&gt;0",'逐条表现'!$Q$7:$Q$196,"&gt;0")</x:f>
        <x:v>1</x:v>
      </x:c>
      <x:c r="H95" s="16" t="n">
        <x:f>COUNTIFS('逐条表现'!$F$7:$F$196,"火天大有",'逐条表现'!$G$7:$G$196,"5m",'逐条表现'!$H$7:$H$196,"空头",'逐条表现'!$P$7:$P$196,"&gt;0")</x:f>
        <x:v>6</x:v>
      </x:c>
      <x:c r="I95" s="17" t="n">
        <x:f>IF(H95=0,"",G95/H95)</x:f>
        <x:v>0.16666666666666666</x:v>
      </x:c>
      <x:c r="J95" s="16" t="n">
        <x:f>COUNTIFS('逐条表现'!$F$7:$F$196,"火天大有",'逐条表现'!$G$7:$G$196,"5m",'逐条表现'!$H$7:$H$196,"空头",'逐条表现'!$R$7:$R$196,"&gt;0",'逐条表现'!$S$7:$S$196,"&gt;0")</x:f>
        <x:v>0</x:v>
      </x:c>
      <x:c r="K95" s="16" t="n">
        <x:f>COUNTIFS('逐条表现'!$F$7:$F$196,"火天大有",'逐条表现'!$G$7:$G$196,"5m",'逐条表现'!$H$7:$H$196,"空头",'逐条表现'!$R$7:$R$196,"&gt;0")</x:f>
        <x:v>6</x:v>
      </x:c>
      <x:c r="L95" s="17" t="n">
        <x:f>IF(K95=0,"",J95/K95)</x:f>
        <x:v>0</x:v>
      </x:c>
      <x:c r="M95" s="5" t="n">
        <x:f>IF(K95=0,"",SUMIFS('逐条表现'!$S$7:$S$196,'逐条表现'!$F$7:$F$196,"火天大有",'逐条表现'!$G$7:$G$196,"5m",'逐条表现'!$H$7:$H$196,"空头")/K95)</x:f>
        <x:v>-0.011133346259994662</x:v>
      </x:c>
      <x:c r="N95" s="16" t="n">
        <x:f>C95-K95-COUNTIFS('逐条表现'!$F$7:$F$196,"火天大有",'逐条表现'!$G$7:$G$196,"5m",'逐条表现'!$H$7:$H$196,"空头",'逐条表现'!$AK$7:$AK$196,"待观察")</x:f>
        <x:v>1</x:v>
      </x:c>
      <x:c r="O95" s="16" t="n">
        <x:f>COUNTIFS('逐条表现'!$F$7:$F$196,"火天大有",'逐条表现'!$G$7:$G$196,"5m",'逐条表现'!$H$7:$H$196,"空头",'逐条表现'!$N$7:$N$196,"&gt;0",'逐条表现'!$O$7:$O$196,"&lt;0")</x:f>
        <x:v>4</x:v>
      </x:c>
      <x:c r="P95" s="16" t="n">
        <x:f>COUNTIFS('逐条表现'!$F$7:$F$196,"火天大有",'逐条表现'!$G$7:$G$196,"5m",'逐条表现'!$H$7:$H$196,"空头",'逐条表现'!$N$7:$N$196,"&gt;0",'逐条表现'!$O$7:$O$196,"=0")</x:f>
        <x:v>0</x:v>
      </x:c>
      <x:c r="Q95" s="16" t="n">
        <x:f>COUNTIFS('逐条表现'!$F$7:$F$196,"火天大有",'逐条表现'!$G$7:$G$196,"5m",'逐条表现'!$H$7:$H$196,"空头",'逐条表现'!$P$7:$P$196,"&gt;0",'逐条表现'!$Q$7:$Q$196,"&lt;0")</x:f>
        <x:v>5</x:v>
      </x:c>
      <x:c r="R95" s="16" t="n">
        <x:f>COUNTIFS('逐条表现'!$F$7:$F$196,"火天大有",'逐条表现'!$G$7:$G$196,"5m",'逐条表现'!$H$7:$H$196,"空头",'逐条表现'!$P$7:$P$196,"&gt;0",'逐条表现'!$Q$7:$Q$196,"=0")</x:f>
        <x:v>0</x:v>
      </x:c>
      <x:c r="S95" s="16" t="n">
        <x:f>COUNTIFS('逐条表现'!$F$7:$F$196,"火天大有",'逐条表现'!$G$7:$G$196,"5m",'逐条表现'!$H$7:$H$196,"空头",'逐条表现'!$R$7:$R$196,"&gt;0",'逐条表现'!$S$7:$S$196,"&lt;0")</x:f>
        <x:v>6</x:v>
      </x:c>
      <x:c r="T95" s="16" t="n">
        <x:f>COUNTIFS('逐条表现'!$F$7:$F$196,"火天大有",'逐条表现'!$G$7:$G$196,"5m",'逐条表现'!$H$7:$H$196,"空头",'逐条表现'!$R$7:$R$196,"&gt;0",'逐条表现'!$S$7:$S$196,"=0")</x:f>
        <x:v>0</x:v>
      </x:c>
      <x:c r="U95" s="5" t="n">
        <x:f>IF(E95=0,"",SUMIFS('逐条表现'!$O$7:$O$196,'逐条表现'!$F$7:$F$196,"火天大有",'逐条表现'!$G$7:$G$196,"5m",'逐条表现'!$H$7:$H$196,"空头")/E95)</x:f>
        <x:v>-0.0025254502733258097</x:v>
      </x:c>
      <x:c r="V95" s="5" t="n">
        <x:f>IF(H95=0,"",SUMIFS('逐条表现'!$Q$7:$Q$196,'逐条表现'!$F$7:$F$196,"火天大有",'逐条表现'!$G$7:$G$196,"5m",'逐条表现'!$H$7:$H$196,"空头")/H95)</x:f>
        <x:v>-0.006266528346643541</x:v>
      </x:c>
      <x:c r="W95" s="16" t="n">
        <x:f>C95-K95-N95</x:f>
        <x:v>0</x:v>
      </x:c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</x:row>
    <x:row r="96" ht="27" customHeight="1">
      <x:c r="A96" s="2" t="str">
        <x:v>苏冰 多头</x:v>
      </x:c>
      <x:c r="B96" s="2" t="str">
        <x:v>15m</x:v>
      </x:c>
      <x:c r="C96" s="16" t="n">
        <x:f>COUNTIFS('逐条表现'!$F$7:$F$196,"苏冰",'逐条表现'!$G$7:$G$196,"15m",'逐条表现'!$H$7:$H$196,"多头")</x:f>
        <x:v>97</x:v>
      </x:c>
      <x:c r="D96" s="16" t="n">
        <x:f>COUNTIFS('逐条表现'!$F$7:$F$196,"苏冰",'逐条表现'!$G$7:$G$196,"15m",'逐条表现'!$H$7:$H$196,"多头",'逐条表现'!$N$7:$N$196,"&gt;0",'逐条表现'!$O$7:$O$196,"&gt;0")</x:f>
        <x:v>19</x:v>
      </x:c>
      <x:c r="E96" s="16" t="n">
        <x:f>COUNTIFS('逐条表现'!$F$7:$F$196,"苏冰",'逐条表现'!$G$7:$G$196,"15m",'逐条表现'!$H$7:$H$196,"多头",'逐条表现'!$N$7:$N$196,"&gt;0")</x:f>
        <x:v>35</x:v>
      </x:c>
      <x:c r="F96" s="17" t="n">
        <x:f>IF(E96=0,"",D96/E96)</x:f>
        <x:v>0.5428571428571428</x:v>
      </x:c>
      <x:c r="G96" s="16" t="n">
        <x:f>COUNTIFS('逐条表现'!$F$7:$F$196,"苏冰",'逐条表现'!$G$7:$G$196,"15m",'逐条表现'!$H$7:$H$196,"多头",'逐条表现'!$P$7:$P$196,"&gt;0",'逐条表现'!$Q$7:$Q$196,"&gt;0")</x:f>
        <x:v>24</x:v>
      </x:c>
      <x:c r="H96" s="16" t="n">
        <x:f>COUNTIFS('逐条表现'!$F$7:$F$196,"苏冰",'逐条表现'!$G$7:$G$196,"15m",'逐条表现'!$H$7:$H$196,"多头",'逐条表现'!$P$7:$P$196,"&gt;0")</x:f>
        <x:v>35</x:v>
      </x:c>
      <x:c r="I96" s="17" t="n">
        <x:f>IF(H96=0,"",G96/H96)</x:f>
        <x:v>0.6857142857142857</x:v>
      </x:c>
      <x:c r="J96" s="16" t="n">
        <x:f>COUNTIFS('逐条表现'!$F$7:$F$196,"苏冰",'逐条表现'!$G$7:$G$196,"15m",'逐条表现'!$H$7:$H$196,"多头",'逐条表现'!$R$7:$R$196,"&gt;0",'逐条表现'!$S$7:$S$196,"&gt;0")</x:f>
        <x:v>20</x:v>
      </x:c>
      <x:c r="K96" s="16" t="n">
        <x:f>COUNTIFS('逐条表现'!$F$7:$F$196,"苏冰",'逐条表现'!$G$7:$G$196,"15m",'逐条表现'!$H$7:$H$196,"多头",'逐条表现'!$R$7:$R$196,"&gt;0")</x:f>
        <x:v>33</x:v>
      </x:c>
      <x:c r="L96" s="17" t="n">
        <x:f>IF(K96=0,"",J96/K96)</x:f>
        <x:v>0.6060606060606061</x:v>
      </x:c>
      <x:c r="M96" s="5" t="n">
        <x:f>IF(K96=0,"",SUMIFS('逐条表现'!$S$7:$S$196,'逐条表现'!$F$7:$F$196,"苏冰",'逐条表现'!$G$7:$G$196,"15m",'逐条表现'!$H$7:$H$196,"多头")/K96)</x:f>
        <x:v>0.0031489308681825756</x:v>
      </x:c>
      <x:c r="N96" s="16" t="n">
        <x:f>C96-K96-COUNTIFS('逐条表现'!$F$7:$F$196,"苏冰",'逐条表现'!$G$7:$G$196,"15m",'逐条表现'!$H$7:$H$196,"多头",'逐条表现'!$AK$7:$AK$196,"待观察")</x:f>
        <x:v>64</x:v>
      </x:c>
      <x:c r="O96" s="16" t="n">
        <x:f>COUNTIFS('逐条表现'!$F$7:$F$196,"苏冰",'逐条表现'!$G$7:$G$196,"15m",'逐条表现'!$H$7:$H$196,"多头",'逐条表现'!$N$7:$N$196,"&gt;0",'逐条表现'!$O$7:$O$196,"&lt;0")</x:f>
        <x:v>15</x:v>
      </x:c>
      <x:c r="P96" s="16" t="n">
        <x:f>COUNTIFS('逐条表现'!$F$7:$F$196,"苏冰",'逐条表现'!$G$7:$G$196,"15m",'逐条表现'!$H$7:$H$196,"多头",'逐条表现'!$N$7:$N$196,"&gt;0",'逐条表现'!$O$7:$O$196,"=0")</x:f>
        <x:v>1</x:v>
      </x:c>
      <x:c r="Q96" s="16" t="n">
        <x:f>COUNTIFS('逐条表现'!$F$7:$F$196,"苏冰",'逐条表现'!$G$7:$G$196,"15m",'逐条表现'!$H$7:$H$196,"多头",'逐条表现'!$P$7:$P$196,"&gt;0",'逐条表现'!$Q$7:$Q$196,"&lt;0")</x:f>
        <x:v>10</x:v>
      </x:c>
      <x:c r="R96" s="16" t="n">
        <x:f>COUNTIFS('逐条表现'!$F$7:$F$196,"苏冰",'逐条表现'!$G$7:$G$196,"15m",'逐条表现'!$H$7:$H$196,"多头",'逐条表现'!$P$7:$P$196,"&gt;0",'逐条表现'!$Q$7:$Q$196,"=0")</x:f>
        <x:v>1</x:v>
      </x:c>
      <x:c r="S96" s="16" t="n">
        <x:f>COUNTIFS('逐条表现'!$F$7:$F$196,"苏冰",'逐条表现'!$G$7:$G$196,"15m",'逐条表现'!$H$7:$H$196,"多头",'逐条表现'!$R$7:$R$196,"&gt;0",'逐条表现'!$S$7:$S$196,"&lt;0")</x:f>
        <x:v>13</x:v>
      </x:c>
      <x:c r="T96" s="16" t="n">
        <x:f>COUNTIFS('逐条表现'!$F$7:$F$196,"苏冰",'逐条表现'!$G$7:$G$196,"15m",'逐条表现'!$H$7:$H$196,"多头",'逐条表现'!$R$7:$R$196,"&gt;0",'逐条表现'!$S$7:$S$196,"=0")</x:f>
        <x:v>0</x:v>
      </x:c>
      <x:c r="U96" s="5" t="n">
        <x:f>IF(E96=0,"",SUMIFS('逐条表现'!$O$7:$O$196,'逐条表现'!$F$7:$F$196,"苏冰",'逐条表现'!$G$7:$G$196,"15m",'逐条表现'!$H$7:$H$196,"多头")/E96)</x:f>
        <x:v>0.0007532247049423743</x:v>
      </x:c>
      <x:c r="V96" s="5" t="n">
        <x:f>IF(H96=0,"",SUMIFS('逐条表现'!$Q$7:$Q$196,'逐条表现'!$F$7:$F$196,"苏冰",'逐条表现'!$G$7:$G$196,"15m",'逐条表现'!$H$7:$H$196,"多头")/H96)</x:f>
        <x:v>0.002032299148042197</x:v>
      </x:c>
      <x:c r="W96" s="16" t="n">
        <x:f>C96-K96-N96</x:f>
        <x:v>0</x:v>
      </x:c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</x:row>
    <x:row r="97" ht="27" customHeight="1">
      <x:c r="A97" s="2" t="str">
        <x:v>苏冰 空头</x:v>
      </x:c>
      <x:c r="B97" s="2" t="str">
        <x:v>15m</x:v>
      </x:c>
      <x:c r="C97" s="16" t="n">
        <x:f>COUNTIFS('逐条表现'!$F$7:$F$196,"苏冰",'逐条表现'!$G$7:$G$196,"15m",'逐条表现'!$H$7:$H$196,"空头")</x:f>
        <x:v>73</x:v>
      </x:c>
      <x:c r="D97" s="16" t="n">
        <x:f>COUNTIFS('逐条表现'!$F$7:$F$196,"苏冰",'逐条表现'!$G$7:$G$196,"15m",'逐条表现'!$H$7:$H$196,"空头",'逐条表现'!$N$7:$N$196,"&gt;0",'逐条表现'!$O$7:$O$196,"&gt;0")</x:f>
        <x:v>9</x:v>
      </x:c>
      <x:c r="E97" s="16" t="n">
        <x:f>COUNTIFS('逐条表现'!$F$7:$F$196,"苏冰",'逐条表现'!$G$7:$G$196,"15m",'逐条表现'!$H$7:$H$196,"空头",'逐条表现'!$N$7:$N$196,"&gt;0")</x:f>
        <x:v>18</x:v>
      </x:c>
      <x:c r="F97" s="17" t="n">
        <x:f>IF(E97=0,"",D97/E97)</x:f>
        <x:v>0.5</x:v>
      </x:c>
      <x:c r="G97" s="16" t="n">
        <x:f>COUNTIFS('逐条表现'!$F$7:$F$196,"苏冰",'逐条表现'!$G$7:$G$196,"15m",'逐条表现'!$H$7:$H$196,"空头",'逐条表现'!$P$7:$P$196,"&gt;0",'逐条表现'!$Q$7:$Q$196,"&gt;0")</x:f>
        <x:v>7</x:v>
      </x:c>
      <x:c r="H97" s="16" t="n">
        <x:f>COUNTIFS('逐条表现'!$F$7:$F$196,"苏冰",'逐条表现'!$G$7:$G$196,"15m",'逐条表现'!$H$7:$H$196,"空头",'逐条表现'!$P$7:$P$196,"&gt;0")</x:f>
        <x:v>16</x:v>
      </x:c>
      <x:c r="I97" s="17" t="n">
        <x:f>IF(H97=0,"",G97/H97)</x:f>
        <x:v>0.4375</x:v>
      </x:c>
      <x:c r="J97" s="16" t="n">
        <x:f>COUNTIFS('逐条表现'!$F$7:$F$196,"苏冰",'逐条表现'!$G$7:$G$196,"15m",'逐条表现'!$H$7:$H$196,"空头",'逐条表现'!$R$7:$R$196,"&gt;0",'逐条表现'!$S$7:$S$196,"&gt;0")</x:f>
        <x:v>3</x:v>
      </x:c>
      <x:c r="K97" s="16" t="n">
        <x:f>COUNTIFS('逐条表现'!$F$7:$F$196,"苏冰",'逐条表现'!$G$7:$G$196,"15m",'逐条表现'!$H$7:$H$196,"空头",'逐条表现'!$R$7:$R$196,"&gt;0")</x:f>
        <x:v>15</x:v>
      </x:c>
      <x:c r="L97" s="17" t="n">
        <x:f>IF(K97=0,"",J97/K97)</x:f>
        <x:v>0.2</x:v>
      </x:c>
      <x:c r="M97" s="5" t="n">
        <x:f>IF(K97=0,"",SUMIFS('逐条表现'!$S$7:$S$196,'逐条表现'!$F$7:$F$196,"苏冰",'逐条表现'!$G$7:$G$196,"15m",'逐条表现'!$H$7:$H$196,"空头")/K97)</x:f>
        <x:v>-0.003617851305222682</x:v>
      </x:c>
      <x:c r="N97" s="16" t="n">
        <x:f>C97-K97-COUNTIFS('逐条表现'!$F$7:$F$196,"苏冰",'逐条表现'!$G$7:$G$196,"15m",'逐条表现'!$H$7:$H$196,"空头",'逐条表现'!$AK$7:$AK$196,"待观察")</x:f>
        <x:v>58</x:v>
      </x:c>
      <x:c r="O97" s="16" t="n">
        <x:f>COUNTIFS('逐条表现'!$F$7:$F$196,"苏冰",'逐条表现'!$G$7:$G$196,"15m",'逐条表现'!$H$7:$H$196,"空头",'逐条表现'!$N$7:$N$196,"&gt;0",'逐条表现'!$O$7:$O$196,"&lt;0")</x:f>
        <x:v>7</x:v>
      </x:c>
      <x:c r="P97" s="16" t="n">
        <x:f>COUNTIFS('逐条表现'!$F$7:$F$196,"苏冰",'逐条表现'!$G$7:$G$196,"15m",'逐条表现'!$H$7:$H$196,"空头",'逐条表现'!$N$7:$N$196,"&gt;0",'逐条表现'!$O$7:$O$196,"=0")</x:f>
        <x:v>2</x:v>
      </x:c>
      <x:c r="Q97" s="16" t="n">
        <x:f>COUNTIFS('逐条表现'!$F$7:$F$196,"苏冰",'逐条表现'!$G$7:$G$196,"15m",'逐条表现'!$H$7:$H$196,"空头",'逐条表现'!$P$7:$P$196,"&gt;0",'逐条表现'!$Q$7:$Q$196,"&lt;0")</x:f>
        <x:v>9</x:v>
      </x:c>
      <x:c r="R97" s="16" t="n">
        <x:f>COUNTIFS('逐条表现'!$F$7:$F$196,"苏冰",'逐条表现'!$G$7:$G$196,"15m",'逐条表现'!$H$7:$H$196,"空头",'逐条表现'!$P$7:$P$196,"&gt;0",'逐条表现'!$Q$7:$Q$196,"=0")</x:f>
        <x:v>0</x:v>
      </x:c>
      <x:c r="S97" s="16" t="n">
        <x:f>COUNTIFS('逐条表现'!$F$7:$F$196,"苏冰",'逐条表现'!$G$7:$G$196,"15m",'逐条表现'!$H$7:$H$196,"空头",'逐条表现'!$R$7:$R$196,"&gt;0",'逐条表现'!$S$7:$S$196,"&lt;0")</x:f>
        <x:v>11</x:v>
      </x:c>
      <x:c r="T97" s="16" t="n">
        <x:f>COUNTIFS('逐条表现'!$F$7:$F$196,"苏冰",'逐条表现'!$G$7:$G$196,"15m",'逐条表现'!$H$7:$H$196,"空头",'逐条表现'!$R$7:$R$196,"&gt;0",'逐条表现'!$S$7:$S$196,"=0")</x:f>
        <x:v>1</x:v>
      </x:c>
      <x:c r="U97" s="5" t="n">
        <x:f>IF(E97=0,"",SUMIFS('逐条表现'!$O$7:$O$196,'逐条表现'!$F$7:$F$196,"苏冰",'逐条表现'!$G$7:$G$196,"15m",'逐条表现'!$H$7:$H$196,"空头")/E97)</x:f>
        <x:v>-0.0002392740925969108</x:v>
      </x:c>
      <x:c r="V97" s="5" t="n">
        <x:f>IF(H97=0,"",SUMIFS('逐条表现'!$Q$7:$Q$196,'逐条表现'!$F$7:$F$196,"苏冰",'逐条表现'!$G$7:$G$196,"15m",'逐条表现'!$H$7:$H$196,"空头")/H97)</x:f>
        <x:v>-0.0017687497593618581</x:v>
      </x:c>
      <x:c r="W97" s="16" t="n">
        <x:f>C97-K97-N97</x:f>
        <x:v>0</x:v>
      </x:c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</x:row>
    <x:row r="98" ht="27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</x:row>
    <x:row r="99" ht="27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</x:row>
    <x:row r="100" ht="27" customHeight="1">
      <x:c r="A100" s="15" t="str">
        <x:v>当日新增与此前已有</x:v>
      </x:c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</x:row>
    <x:row r="101" ht="38" customHeight="1">
      <x:c r="A101" s="9" t="str">
        <x:v>策略/品种</x:v>
      </x:c>
      <x:c r="B101" s="9" t="str">
        <x:v>信号周期</x:v>
      </x:c>
      <x:c r="C101" s="9" t="str">
        <x:v>总条数</x:v>
      </x:c>
      <x:c r="D101" s="9" t="str">
        <x:v>15m有利</x:v>
      </x:c>
      <x:c r="E101" s="9" t="str">
        <x:v>15m样本</x:v>
      </x:c>
      <x:c r="F101" s="9" t="str">
        <x:v>15m比例</x:v>
      </x:c>
      <x:c r="G101" s="9" t="str">
        <x:v>30m有利</x:v>
      </x:c>
      <x:c r="H101" s="9" t="str">
        <x:v>30m样本</x:v>
      </x:c>
      <x:c r="I101" s="9" t="str">
        <x:v>30m比例</x:v>
      </x:c>
      <x:c r="J101" s="9" t="str">
        <x:v>60m有利</x:v>
      </x:c>
      <x:c r="K101" s="9" t="str">
        <x:v>60m样本</x:v>
      </x:c>
      <x:c r="L101" s="9" t="str">
        <x:v>60m比例</x:v>
      </x:c>
      <x:c r="M101" s="9" t="str">
        <x:v>60m均变</x:v>
      </x:c>
      <x:c r="N101" s="9" t="str">
        <x:v>60m缺数据</x:v>
      </x:c>
      <x:c r="O101" s="9" t="str">
        <x:v>15m不利</x:v>
      </x:c>
      <x:c r="P101" s="9" t="str">
        <x:v>15m持平</x:v>
      </x:c>
      <x:c r="Q101" s="9" t="str">
        <x:v>30m不利</x:v>
      </x:c>
      <x:c r="R101" s="9" t="str">
        <x:v>30m持平</x:v>
      </x:c>
      <x:c r="S101" s="9" t="str">
        <x:v>60m不利</x:v>
      </x:c>
      <x:c r="T101" s="9" t="str">
        <x:v>60m持平</x:v>
      </x:c>
      <x:c r="U101" s="9" t="str">
        <x:v>15m均变</x:v>
      </x:c>
      <x:c r="V101" s="9" t="str">
        <x:v>30m均变</x:v>
      </x:c>
      <x:c r="W101" s="9" t="str">
        <x:v>60m待观察</x:v>
      </x:c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</x:row>
    <x:row r="102" ht="27" customHeight="1">
      <x:c r="A102" s="2" t="str">
        <x:v>此前已有 火天大有</x:v>
      </x:c>
      <x:c r="B102" s="2" t="str">
        <x:v>15m</x:v>
      </x:c>
      <x:c r="C102" s="16" t="n">
        <x:f>COUNTIFS('逐条表现'!$F$7:$F$196,"火天大有",'逐条表现'!$G$7:$G$196,"15m",'逐条表现'!$AG$7:$AG$196,"此前已有")</x:f>
        <x:v>7</x:v>
      </x:c>
      <x:c r="D102" s="16" t="n">
        <x:f>COUNTIFS('逐条表现'!$F$7:$F$196,"火天大有",'逐条表现'!$G$7:$G$196,"15m",'逐条表现'!$AG$7:$AG$196,"此前已有",'逐条表现'!$N$7:$N$196,"&gt;0",'逐条表现'!$O$7:$O$196,"&gt;0")</x:f>
        <x:v>1</x:v>
      </x:c>
      <x:c r="E102" s="16" t="n">
        <x:f>COUNTIFS('逐条表现'!$F$7:$F$196,"火天大有",'逐条表现'!$G$7:$G$196,"15m",'逐条表现'!$AG$7:$AG$196,"此前已有",'逐条表现'!$N$7:$N$196,"&gt;0")</x:f>
        <x:v>3</x:v>
      </x:c>
      <x:c r="F102" s="17" t="n">
        <x:f>IF(E102=0,"",D102/E102)</x:f>
        <x:v>0.3333333333333333</x:v>
      </x:c>
      <x:c r="G102" s="16" t="n">
        <x:f>COUNTIFS('逐条表现'!$F$7:$F$196,"火天大有",'逐条表现'!$G$7:$G$196,"15m",'逐条表现'!$AG$7:$AG$196,"此前已有",'逐条表现'!$P$7:$P$196,"&gt;0",'逐条表现'!$Q$7:$Q$196,"&gt;0")</x:f>
        <x:v>1</x:v>
      </x:c>
      <x:c r="H102" s="16" t="n">
        <x:f>COUNTIFS('逐条表现'!$F$7:$F$196,"火天大有",'逐条表现'!$G$7:$G$196,"15m",'逐条表现'!$AG$7:$AG$196,"此前已有",'逐条表现'!$P$7:$P$196,"&gt;0")</x:f>
        <x:v>3</x:v>
      </x:c>
      <x:c r="I102" s="17" t="n">
        <x:f>IF(H102=0,"",G102/H102)</x:f>
        <x:v>0.3333333333333333</x:v>
      </x:c>
      <x:c r="J102" s="16" t="n">
        <x:f>COUNTIFS('逐条表现'!$F$7:$F$196,"火天大有",'逐条表现'!$G$7:$G$196,"15m",'逐条表现'!$AG$7:$AG$196,"此前已有",'逐条表现'!$R$7:$R$196,"&gt;0",'逐条表现'!$S$7:$S$196,"&gt;0")</x:f>
        <x:v>2</x:v>
      </x:c>
      <x:c r="K102" s="16" t="n">
        <x:f>COUNTIFS('逐条表现'!$F$7:$F$196,"火天大有",'逐条表现'!$G$7:$G$196,"15m",'逐条表现'!$AG$7:$AG$196,"此前已有",'逐条表现'!$R$7:$R$196,"&gt;0")</x:f>
        <x:v>3</x:v>
      </x:c>
      <x:c r="L102" s="17" t="n">
        <x:f>IF(K102=0,"",J102/K102)</x:f>
        <x:v>0.6666666666666666</x:v>
      </x:c>
      <x:c r="M102" s="5" t="n">
        <x:f>IF(K102=0,"",SUMIFS('逐条表现'!$S$7:$S$196,'逐条表现'!$F$7:$F$196,"火天大有",'逐条表现'!$G$7:$G$196,"15m",'逐条表现'!$AG$7:$AG$196,"此前已有")/K102)</x:f>
        <x:v>0.00015907637109017583</x:v>
      </x:c>
      <x:c r="N102" s="16" t="n">
        <x:f>C102-K102-COUNTIFS('逐条表现'!$F$7:$F$196,"火天大有",'逐条表现'!$G$7:$G$196,"15m",'逐条表现'!$AG$7:$AG$196,"此前已有",'逐条表现'!$AK$7:$AK$196,"待观察")</x:f>
        <x:v>4</x:v>
      </x:c>
      <x:c r="O102" s="16" t="n">
        <x:f>COUNTIFS('逐条表现'!$F$7:$F$196,"火天大有",'逐条表现'!$G$7:$G$196,"15m",'逐条表现'!$AG$7:$AG$196,"此前已有",'逐条表现'!$N$7:$N$196,"&gt;0",'逐条表现'!$O$7:$O$196,"&lt;0")</x:f>
        <x:v>2</x:v>
      </x:c>
      <x:c r="P102" s="16" t="n">
        <x:f>COUNTIFS('逐条表现'!$F$7:$F$196,"火天大有",'逐条表现'!$G$7:$G$196,"15m",'逐条表现'!$AG$7:$AG$196,"此前已有",'逐条表现'!$N$7:$N$196,"&gt;0",'逐条表现'!$O$7:$O$196,"=0")</x:f>
        <x:v>0</x:v>
      </x:c>
      <x:c r="Q102" s="16" t="n">
        <x:f>COUNTIFS('逐条表现'!$F$7:$F$196,"火天大有",'逐条表现'!$G$7:$G$196,"15m",'逐条表现'!$AG$7:$AG$196,"此前已有",'逐条表现'!$P$7:$P$196,"&gt;0",'逐条表现'!$Q$7:$Q$196,"&lt;0")</x:f>
        <x:v>2</x:v>
      </x:c>
      <x:c r="R102" s="16" t="n">
        <x:f>COUNTIFS('逐条表现'!$F$7:$F$196,"火天大有",'逐条表现'!$G$7:$G$196,"15m",'逐条表现'!$AG$7:$AG$196,"此前已有",'逐条表现'!$P$7:$P$196,"&gt;0",'逐条表现'!$Q$7:$Q$196,"=0")</x:f>
        <x:v>0</x:v>
      </x:c>
      <x:c r="S102" s="16" t="n">
        <x:f>COUNTIFS('逐条表现'!$F$7:$F$196,"火天大有",'逐条表现'!$G$7:$G$196,"15m",'逐条表现'!$AG$7:$AG$196,"此前已有",'逐条表现'!$R$7:$R$196,"&gt;0",'逐条表现'!$S$7:$S$196,"&lt;0")</x:f>
        <x:v>1</x:v>
      </x:c>
      <x:c r="T102" s="16" t="n">
        <x:f>COUNTIFS('逐条表现'!$F$7:$F$196,"火天大有",'逐条表现'!$G$7:$G$196,"15m",'逐条表现'!$AG$7:$AG$196,"此前已有",'逐条表现'!$R$7:$R$196,"&gt;0",'逐条表现'!$S$7:$S$196,"=0")</x:f>
        <x:v>0</x:v>
      </x:c>
      <x:c r="U102" s="5" t="n">
        <x:f>IF(E102=0,"",SUMIFS('逐条表现'!$O$7:$O$196,'逐条表现'!$F$7:$F$196,"火天大有",'逐条表现'!$G$7:$G$196,"15m",'逐条表现'!$AG$7:$AG$196,"此前已有")/E102)</x:f>
        <x:v>-0.00367911891418223</x:v>
      </x:c>
      <x:c r="V102" s="5" t="n">
        <x:f>IF(H102=0,"",SUMIFS('逐条表现'!$Q$7:$Q$196,'逐条表现'!$F$7:$F$196,"火天大有",'逐条表现'!$G$7:$G$196,"15m",'逐条表现'!$AG$7:$AG$196,"此前已有")/H102)</x:f>
        <x:v>-0.0012442584456754762</x:v>
      </x:c>
      <x:c r="W102" s="16" t="n">
        <x:f>C102-K102-N102</x:f>
        <x:v>0</x:v>
      </x:c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</x:row>
    <x:row r="103" ht="27" customHeight="1">
      <x:c r="A103" s="2" t="str">
        <x:v>此前已有 火天大有</x:v>
      </x:c>
      <x:c r="B103" s="2" t="str">
        <x:v>5m</x:v>
      </x:c>
      <x:c r="C103" s="16" t="n">
        <x:f>COUNTIFS('逐条表现'!$F$7:$F$196,"火天大有",'逐条表现'!$G$7:$G$196,"5m",'逐条表现'!$AG$7:$AG$196,"此前已有")</x:f>
        <x:v>13</x:v>
      </x:c>
      <x:c r="D103" s="16" t="n">
        <x:f>COUNTIFS('逐条表现'!$F$7:$F$196,"火天大有",'逐条表现'!$G$7:$G$196,"5m",'逐条表现'!$AG$7:$AG$196,"此前已有",'逐条表现'!$N$7:$N$196,"&gt;0",'逐条表现'!$O$7:$O$196,"&gt;0")</x:f>
        <x:v>3</x:v>
      </x:c>
      <x:c r="E103" s="16" t="n">
        <x:f>COUNTIFS('逐条表现'!$F$7:$F$196,"火天大有",'逐条表现'!$G$7:$G$196,"5m",'逐条表现'!$AG$7:$AG$196,"此前已有",'逐条表现'!$N$7:$N$196,"&gt;0")</x:f>
        <x:v>8</x:v>
      </x:c>
      <x:c r="F103" s="17" t="n">
        <x:f>IF(E103=0,"",D103/E103)</x:f>
        <x:v>0.375</x:v>
      </x:c>
      <x:c r="G103" s="16" t="n">
        <x:f>COUNTIFS('逐条表现'!$F$7:$F$196,"火天大有",'逐条表现'!$G$7:$G$196,"5m",'逐条表现'!$AG$7:$AG$196,"此前已有",'逐条表现'!$P$7:$P$196,"&gt;0",'逐条表现'!$Q$7:$Q$196,"&gt;0")</x:f>
        <x:v>2</x:v>
      </x:c>
      <x:c r="H103" s="16" t="n">
        <x:f>COUNTIFS('逐条表现'!$F$7:$F$196,"火天大有",'逐条表现'!$G$7:$G$196,"5m",'逐条表现'!$AG$7:$AG$196,"此前已有",'逐条表现'!$P$7:$P$196,"&gt;0")</x:f>
        <x:v>8</x:v>
      </x:c>
      <x:c r="I103" s="17" t="n">
        <x:f>IF(H103=0,"",G103/H103)</x:f>
        <x:v>0.25</x:v>
      </x:c>
      <x:c r="J103" s="16" t="n">
        <x:f>COUNTIFS('逐条表现'!$F$7:$F$196,"火天大有",'逐条表现'!$G$7:$G$196,"5m",'逐条表现'!$AG$7:$AG$196,"此前已有",'逐条表现'!$R$7:$R$196,"&gt;0",'逐条表现'!$S$7:$S$196,"&gt;0")</x:f>
        <x:v>1</x:v>
      </x:c>
      <x:c r="K103" s="16" t="n">
        <x:f>COUNTIFS('逐条表现'!$F$7:$F$196,"火天大有",'逐条表现'!$G$7:$G$196,"5m",'逐条表现'!$AG$7:$AG$196,"此前已有",'逐条表现'!$R$7:$R$196,"&gt;0")</x:f>
        <x:v>8</x:v>
      </x:c>
      <x:c r="L103" s="17" t="n">
        <x:f>IF(K103=0,"",J103/K103)</x:f>
        <x:v>0.125</x:v>
      </x:c>
      <x:c r="M103" s="5" t="n">
        <x:f>IF(K103=0,"",SUMIFS('逐条表现'!$S$7:$S$196,'逐条表现'!$F$7:$F$196,"火天大有",'逐条表现'!$G$7:$G$196,"5m",'逐条表现'!$AG$7:$AG$196,"此前已有")/K103)</x:f>
        <x:v>-0.009352788367343878</x:v>
      </x:c>
      <x:c r="N103" s="16" t="n">
        <x:f>C103-K103-COUNTIFS('逐条表现'!$F$7:$F$196,"火天大有",'逐条表现'!$G$7:$G$196,"5m",'逐条表现'!$AG$7:$AG$196,"此前已有",'逐条表现'!$AK$7:$AK$196,"待观察")</x:f>
        <x:v>5</x:v>
      </x:c>
      <x:c r="O103" s="16" t="n">
        <x:f>COUNTIFS('逐条表现'!$F$7:$F$196,"火天大有",'逐条表现'!$G$7:$G$196,"5m",'逐条表现'!$AG$7:$AG$196,"此前已有",'逐条表现'!$N$7:$N$196,"&gt;0",'逐条表现'!$O$7:$O$196,"&lt;0")</x:f>
        <x:v>5</x:v>
      </x:c>
      <x:c r="P103" s="16" t="n">
        <x:f>COUNTIFS('逐条表现'!$F$7:$F$196,"火天大有",'逐条表现'!$G$7:$G$196,"5m",'逐条表现'!$AG$7:$AG$196,"此前已有",'逐条表现'!$N$7:$N$196,"&gt;0",'逐条表现'!$O$7:$O$196,"=0")</x:f>
        <x:v>0</x:v>
      </x:c>
      <x:c r="Q103" s="16" t="n">
        <x:f>COUNTIFS('逐条表现'!$F$7:$F$196,"火天大有",'逐条表现'!$G$7:$G$196,"5m",'逐条表现'!$AG$7:$AG$196,"此前已有",'逐条表现'!$P$7:$P$196,"&gt;0",'逐条表现'!$Q$7:$Q$196,"&lt;0")</x:f>
        <x:v>6</x:v>
      </x:c>
      <x:c r="R103" s="16" t="n">
        <x:f>COUNTIFS('逐条表现'!$F$7:$F$196,"火天大有",'逐条表现'!$G$7:$G$196,"5m",'逐条表现'!$AG$7:$AG$196,"此前已有",'逐条表现'!$P$7:$P$196,"&gt;0",'逐条表现'!$Q$7:$Q$196,"=0")</x:f>
        <x:v>0</x:v>
      </x:c>
      <x:c r="S103" s="16" t="n">
        <x:f>COUNTIFS('逐条表现'!$F$7:$F$196,"火天大有",'逐条表现'!$G$7:$G$196,"5m",'逐条表现'!$AG$7:$AG$196,"此前已有",'逐条表现'!$R$7:$R$196,"&gt;0",'逐条表现'!$S$7:$S$196,"&lt;0")</x:f>
        <x:v>7</x:v>
      </x:c>
      <x:c r="T103" s="16" t="n">
        <x:f>COUNTIFS('逐条表现'!$F$7:$F$196,"火天大有",'逐条表现'!$G$7:$G$196,"5m",'逐条表现'!$AG$7:$AG$196,"此前已有",'逐条表现'!$R$7:$R$196,"&gt;0",'逐条表现'!$S$7:$S$196,"=0")</x:f>
        <x:v>0</x:v>
      </x:c>
      <x:c r="U103" s="5" t="n">
        <x:f>IF(E103=0,"",SUMIFS('逐条表现'!$O$7:$O$196,'逐条表现'!$F$7:$F$196,"火天大有",'逐条表现'!$G$7:$G$196,"5m",'逐条表现'!$AG$7:$AG$196,"此前已有")/E103)</x:f>
        <x:v>-0.0009602253366681884</x:v>
      </x:c>
      <x:c r="V103" s="5" t="n">
        <x:f>IF(H103=0,"",SUMIFS('逐条表现'!$Q$7:$Q$196,'逐条表现'!$F$7:$F$196,"火天大有",'逐条表现'!$G$7:$G$196,"5m",'逐条表现'!$AG$7:$AG$196,"此前已有")/H103)</x:f>
        <x:v>-0.005542718917654066</x:v>
      </x:c>
      <x:c r="W103" s="16" t="n">
        <x:f>C103-K103-N103</x:f>
        <x:v>0</x:v>
      </x:c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</x:row>
    <x:row r="104" ht="27" customHeight="1">
      <x:c r="A104" s="2" t="str">
        <x:v>此前已有 苏冰</x:v>
      </x:c>
      <x:c r="B104" s="2" t="str">
        <x:v>15m</x:v>
      </x:c>
      <x:c r="C104" s="16" t="n">
        <x:f>COUNTIFS('逐条表现'!$F$7:$F$196,"苏冰",'逐条表现'!$G$7:$G$196,"15m",'逐条表现'!$AG$7:$AG$196,"此前已有")</x:f>
        <x:v>170</x:v>
      </x:c>
      <x:c r="D104" s="16" t="n">
        <x:f>COUNTIFS('逐条表现'!$F$7:$F$196,"苏冰",'逐条表现'!$G$7:$G$196,"15m",'逐条表现'!$AG$7:$AG$196,"此前已有",'逐条表现'!$N$7:$N$196,"&gt;0",'逐条表现'!$O$7:$O$196,"&gt;0")</x:f>
        <x:v>28</x:v>
      </x:c>
      <x:c r="E104" s="16" t="n">
        <x:f>COUNTIFS('逐条表现'!$F$7:$F$196,"苏冰",'逐条表现'!$G$7:$G$196,"15m",'逐条表现'!$AG$7:$AG$196,"此前已有",'逐条表现'!$N$7:$N$196,"&gt;0")</x:f>
        <x:v>53</x:v>
      </x:c>
      <x:c r="F104" s="17" t="n">
        <x:f>IF(E104=0,"",D104/E104)</x:f>
        <x:v>0.5283018867924528</x:v>
      </x:c>
      <x:c r="G104" s="16" t="n">
        <x:f>COUNTIFS('逐条表现'!$F$7:$F$196,"苏冰",'逐条表现'!$G$7:$G$196,"15m",'逐条表现'!$AG$7:$AG$196,"此前已有",'逐条表现'!$P$7:$P$196,"&gt;0",'逐条表现'!$Q$7:$Q$196,"&gt;0")</x:f>
        <x:v>31</x:v>
      </x:c>
      <x:c r="H104" s="16" t="n">
        <x:f>COUNTIFS('逐条表现'!$F$7:$F$196,"苏冰",'逐条表现'!$G$7:$G$196,"15m",'逐条表现'!$AG$7:$AG$196,"此前已有",'逐条表现'!$P$7:$P$196,"&gt;0")</x:f>
        <x:v>51</x:v>
      </x:c>
      <x:c r="I104" s="17" t="n">
        <x:f>IF(H104=0,"",G104/H104)</x:f>
        <x:v>0.6078431372549019</x:v>
      </x:c>
      <x:c r="J104" s="16" t="n">
        <x:f>COUNTIFS('逐条表现'!$F$7:$F$196,"苏冰",'逐条表现'!$G$7:$G$196,"15m",'逐条表现'!$AG$7:$AG$196,"此前已有",'逐条表现'!$R$7:$R$196,"&gt;0",'逐条表现'!$S$7:$S$196,"&gt;0")</x:f>
        <x:v>23</x:v>
      </x:c>
      <x:c r="K104" s="16" t="n">
        <x:f>COUNTIFS('逐条表现'!$F$7:$F$196,"苏冰",'逐条表现'!$G$7:$G$196,"15m",'逐条表现'!$AG$7:$AG$196,"此前已有",'逐条表现'!$R$7:$R$196,"&gt;0")</x:f>
        <x:v>48</x:v>
      </x:c>
      <x:c r="L104" s="17" t="n">
        <x:f>IF(K104=0,"",J104/K104)</x:f>
        <x:v>0.4791666666666667</x:v>
      </x:c>
      <x:c r="M104" s="5" t="n">
        <x:f>IF(K104=0,"",SUMIFS('逐条表现'!$S$7:$S$196,'逐条表现'!$F$7:$F$196,"苏冰",'逐条表现'!$G$7:$G$196,"15m",'逐条表现'!$AG$7:$AG$196,"此前已有")/K104)</x:f>
        <x:v>0.0010343114389934325</x:v>
      </x:c>
      <x:c r="N104" s="16" t="n">
        <x:f>C104-K104-COUNTIFS('逐条表现'!$F$7:$F$196,"苏冰",'逐条表现'!$G$7:$G$196,"15m",'逐条表现'!$AG$7:$AG$196,"此前已有",'逐条表现'!$AK$7:$AK$196,"待观察")</x:f>
        <x:v>122</x:v>
      </x:c>
      <x:c r="O104" s="16" t="n">
        <x:f>COUNTIFS('逐条表现'!$F$7:$F$196,"苏冰",'逐条表现'!$G$7:$G$196,"15m",'逐条表现'!$AG$7:$AG$196,"此前已有",'逐条表现'!$N$7:$N$196,"&gt;0",'逐条表现'!$O$7:$O$196,"&lt;0")</x:f>
        <x:v>22</x:v>
      </x:c>
      <x:c r="P104" s="16" t="n">
        <x:f>COUNTIFS('逐条表现'!$F$7:$F$196,"苏冰",'逐条表现'!$G$7:$G$196,"15m",'逐条表现'!$AG$7:$AG$196,"此前已有",'逐条表现'!$N$7:$N$196,"&gt;0",'逐条表现'!$O$7:$O$196,"=0")</x:f>
        <x:v>3</x:v>
      </x:c>
      <x:c r="Q104" s="16" t="n">
        <x:f>COUNTIFS('逐条表现'!$F$7:$F$196,"苏冰",'逐条表现'!$G$7:$G$196,"15m",'逐条表现'!$AG$7:$AG$196,"此前已有",'逐条表现'!$P$7:$P$196,"&gt;0",'逐条表现'!$Q$7:$Q$196,"&lt;0")</x:f>
        <x:v>19</x:v>
      </x:c>
      <x:c r="R104" s="16" t="n">
        <x:f>COUNTIFS('逐条表现'!$F$7:$F$196,"苏冰",'逐条表现'!$G$7:$G$196,"15m",'逐条表现'!$AG$7:$AG$196,"此前已有",'逐条表现'!$P$7:$P$196,"&gt;0",'逐条表现'!$Q$7:$Q$196,"=0")</x:f>
        <x:v>1</x:v>
      </x:c>
      <x:c r="S104" s="16" t="n">
        <x:f>COUNTIFS('逐条表现'!$F$7:$F$196,"苏冰",'逐条表现'!$G$7:$G$196,"15m",'逐条表现'!$AG$7:$AG$196,"此前已有",'逐条表现'!$R$7:$R$196,"&gt;0",'逐条表现'!$S$7:$S$196,"&lt;0")</x:f>
        <x:v>24</x:v>
      </x:c>
      <x:c r="T104" s="16" t="n">
        <x:f>COUNTIFS('逐条表现'!$F$7:$F$196,"苏冰",'逐条表现'!$G$7:$G$196,"15m",'逐条表现'!$AG$7:$AG$196,"此前已有",'逐条表现'!$R$7:$R$196,"&gt;0",'逐条表现'!$S$7:$S$196,"=0")</x:f>
        <x:v>1</x:v>
      </x:c>
      <x:c r="U104" s="5" t="n">
        <x:f>IF(E104=0,"",SUMIFS('逐条表现'!$O$7:$O$196,'逐条表现'!$F$7:$F$196,"苏冰",'逐条表现'!$G$7:$G$196,"15m",'逐条表现'!$AG$7:$AG$196,"此前已有")/E104)</x:f>
        <x:v>0.0004161496416271454</x:v>
      </x:c>
      <x:c r="V104" s="5" t="n">
        <x:f>IF(H104=0,"",SUMIFS('逐条表现'!$Q$7:$Q$196,'逐条表现'!$F$7:$F$196,"苏冰",'逐条表现'!$G$7:$G$196,"15m",'逐条表现'!$AG$7:$AG$196,"此前已有")/H104)</x:f>
        <x:v>0.0008398132163075913</x:v>
      </x:c>
      <x:c r="W104" s="16" t="n">
        <x:f>C104-K104-N104</x:f>
        <x:v>0</x:v>
      </x:c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</x:row>
    <x:row r="105" ht="27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</x:row>
    <x:row r="106" ht="27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</x:row>
    <x:row r="107" ht="27" customHeight="1">
      <x:c r="A107" s="2" t="str">
        <x:v>统计截止北京时间 2026-09-11 15:13。今天0条新增，不代表运行正常且无信号。</x:v>
      </x:c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</x:row>
    <x:row r="108" ht="27" customHeight="1">
      <x:c r="A108" s="2" t="str">
        <x:v>五个交易所Calendar均确认今天开盘，但60个运行品种的有效Session和当日rank1映射均缺失。</x:v>
      </x:c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</x:row>
    <x:row r="109" ht="27" customHeight="1">
      <x:c r="A109" s="2" t="str">
        <x:v>预警处理与最后发送尝试仍停在9月10日10:15。苏冰保留evaluation_failed状态，今天未出现新的发送证据。</x:v>
      </x:c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</x:row>
    <x:row r="110" ht="27" customHeight="1">
      <x:c r="A110" s="2" t="str">
        <x:v>本次全周窗口查询在54个合约上失败。另行只读核验截至9月10日的历史窗口，保留可独立证明完整的旧样本。</x:v>
      </x:c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</x:row>
    <x:row r="111" ht="27" customHeight="1">
      <x:c r="A111" s="2" t="str">
        <x:v>历史读取：9月9日50个合约、9月10日54个合约返回DATASET_OR_PARTITION_MISSING。没有补数、填零或缩短窗口。</x:v>
      </x:c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</x:row>
    <x:row r="112" ht="27" customHeight="1">
      <x:c r="A112" s="2" t="str">
        <x:v>本周190条：15m可评估64条，缺126条；30m可评估62条，缺128条；60m可评估59条，缺131条。</x:v>
      </x:c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</x:row>
    <x:row r="113" ht="27" customHeight="1">
      <x:c r="A113" s="2" t="str">
        <x:v>当前可重算子集不能代表完整周表现，也不能与昨天不同覆盖范围的比例直接比较。</x:v>
      </x:c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</x:row>
    <x:row r="114" ht="27" customHeight="1">
      <x:c r="A114" s="2" t="str">
        <x:v>昨天79条未决记录今天均未补齐；另有52条昨天可评估的60m结果今天无法重算。旧快照保留。</x:v>
      </x:c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</x:row>
    <x:row r="115" ht="27" customHeight="1">
      <x:c r="A115" s="2" t="str">
        <x:v>旧190条Event关键身份全部一致。本次新成熟窗口0个，可重算旧窗口的数值修订0个。读取失败单列，不能当作价格修订。</x:v>
      </x:c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</x:row>
    <x:row r="116" ht="27" customHeight="1">
      <x:c r="A116" s="2" t="str">
        <x:v>本次没有新预警，未重新执行策略公式复算；明细W列明确标识旧结论，不据此声明当前公式已验证。</x:v>
      </x:c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</x:row>
    <x:row r="117" ht="27" customHeight="1">
      <x:c r="A117" s="2" t="str">
        <x:v>发送证据沿用已保存逐条证据和当前共享状态。provider接受不证明微信送达；正文按Event和模板复原。</x:v>
      </x:c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</x:row>
    <x:row r="118" ht="27" customHeight="1">
      <x:c r="A118" s="2" t="str">
        <x:v>基准为发送尝试之后首个严格晚于该时点的completed 1m收盘价。方向变化=方向系数×（终点价÷基准价−1）。</x:v>
      </x:c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</x:row>
    <x:row r="119" ht="27" customHeight="1">
      <x:c r="A119" s="2" t="str">
        <x:v>使用同一物理合约，按权威交易分钟计时。全部应有分钟存在才可评估；缺失与未满窗口分开。</x:v>
      </x:c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</x:row>
    <x:row r="120" ht="27" customHeight="1">
      <x:c r="A120" s="2" t="str">
        <x:v>同物理合约×策略×周期×方向的60交易分钟窗口相互重叠归为同组，取首条代表；仅用于相关性敏感性检查，不等于独立交易。</x:v>
      </x:c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</x:row>
    <x:row r="121" ht="27" customHeight="1">
      <x:c r="A121" s="2" t="str">
        <x:v>窗口分组：180组，重复成员10条，无法分组0条。首条代表中60m有利24/53，另有127组缺数据。</x:v>
      </x:c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</x:row>
    <x:row r="122" ht="27" customHeight="1">
      <x:c r="A122" s="2" t="str">
        <x:v>方向有利比例不等于含费用、滑点的交易胜率或账户收益。当前覆盖不足，不调整或淘汰策略。</x:v>
      </x:c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</x:row>
    <x:row r="123" ht="27" customHeight="1">
      <x:c r="A123" s="2" t="str">
        <x:v>唯一下一步：针对60品种Session与当日rank1缺失，形成现有维护流程的受控修复范围。当前复盘不执行生产修复。</x:v>
      </x:c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</x:row>
    <x:row r="124" ht="27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</x:row>
    <x:row r="20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</x:row>
    <x:row r="202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</x:row>
    <x:row r="203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</x:row>
    <x:row r="204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</x:row>
    <x:row r="205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</x:row>
    <x:row r="206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</x:row>
    <x:row r="207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</x:row>
    <x:row r="208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</x:row>
    <x:row r="20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</x:row>
    <x:row r="210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</x:row>
    <x:row r="21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</x:row>
    <x:row r="212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</x:row>
    <x:row r="213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</x:row>
    <x:row r="214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</x:row>
    <x:row r="215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</x:row>
    <x:row r="216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</x:row>
    <x:row r="217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</x:row>
    <x:row r="218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</x:row>
    <x:row r="21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</x:row>
    <x:row r="220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</x:row>
    <x:row r="22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</x:row>
    <x:row r="222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</x:row>
    <x:row r="223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</x:row>
    <x:row r="224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</x:row>
    <x:row r="225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</x:row>
    <x:row r="226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</x:row>
    <x:row r="227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</x:row>
    <x:row r="228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</x:row>
    <x:row r="229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</x:row>
    <x:row r="230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</x:row>
    <x:row r="23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</x:row>
    <x:row r="232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</x:row>
    <x:row r="233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</x:row>
    <x:row r="234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</x:row>
    <x:row r="235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</x:row>
    <x:row r="236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</x:row>
    <x:row r="237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</x:row>
    <x:row r="238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</x:row>
    <x:row r="239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  <x:c r="AA239" s="2"/>
      <x:c r="AB239" s="2"/>
      <x:c r="AC239" s="2"/>
      <x:c r="AD239" s="2"/>
      <x:c r="AE239" s="2"/>
      <x:c r="AF239" s="2"/>
      <x:c r="AG239" s="2"/>
      <x:c r="AH239" s="2"/>
      <x:c r="AI239" s="2"/>
      <x:c r="AJ239" s="2"/>
      <x:c r="AK239" s="2"/>
      <x:c r="AL239" s="2"/>
      <x:c r="AM239" s="2"/>
      <x:c r="AN239" s="2"/>
      <x:c r="AO239" s="2"/>
      <x:c r="AP239" s="2"/>
    </x:row>
    <x:row r="240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  <x:c r="AA240" s="2"/>
      <x:c r="AB240" s="2"/>
      <x:c r="AC240" s="2"/>
      <x:c r="AD240" s="2"/>
      <x:c r="AE240" s="2"/>
      <x:c r="AF240" s="2"/>
      <x:c r="AG240" s="2"/>
      <x:c r="AH240" s="2"/>
      <x:c r="AI240" s="2"/>
      <x:c r="AJ240" s="2"/>
      <x:c r="AK240" s="2"/>
      <x:c r="AL240" s="2"/>
      <x:c r="AM240" s="2"/>
      <x:c r="AN240" s="2"/>
      <x:c r="AO240" s="2"/>
      <x:c r="AP240" s="2"/>
    </x:row>
    <x:row r="24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  <x:c r="AA241" s="2"/>
      <x:c r="AB241" s="2"/>
      <x:c r="AC241" s="2"/>
      <x:c r="AD241" s="2"/>
      <x:c r="AE241" s="2"/>
      <x:c r="AF241" s="2"/>
      <x:c r="AG241" s="2"/>
      <x:c r="AH241" s="2"/>
      <x:c r="AI241" s="2"/>
      <x:c r="AJ241" s="2"/>
      <x:c r="AK241" s="2"/>
      <x:c r="AL241" s="2"/>
      <x:c r="AM241" s="2"/>
      <x:c r="AN241" s="2"/>
      <x:c r="AO241" s="2"/>
      <x:c r="AP241" s="2"/>
    </x:row>
    <x:row r="242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  <x:c r="AA242" s="2"/>
      <x:c r="AB242" s="2"/>
      <x:c r="AC242" s="2"/>
      <x:c r="AD242" s="2"/>
      <x:c r="AE242" s="2"/>
      <x:c r="AF242" s="2"/>
      <x:c r="AG242" s="2"/>
      <x:c r="AH242" s="2"/>
      <x:c r="AI242" s="2"/>
      <x:c r="AJ242" s="2"/>
      <x:c r="AK242" s="2"/>
      <x:c r="AL242" s="2"/>
      <x:c r="AM242" s="2"/>
      <x:c r="AN242" s="2"/>
      <x:c r="AO242" s="2"/>
      <x:c r="AP242" s="2"/>
    </x:row>
    <x:row r="243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  <x:c r="AA243" s="2"/>
      <x:c r="AB243" s="2"/>
      <x:c r="AC243" s="2"/>
      <x:c r="AD243" s="2"/>
      <x:c r="AE243" s="2"/>
      <x:c r="AF243" s="2"/>
      <x:c r="AG243" s="2"/>
      <x:c r="AH243" s="2"/>
      <x:c r="AI243" s="2"/>
      <x:c r="AJ243" s="2"/>
      <x:c r="AK243" s="2"/>
      <x:c r="AL243" s="2"/>
      <x:c r="AM243" s="2"/>
      <x:c r="AN243" s="2"/>
      <x:c r="AO243" s="2"/>
      <x:c r="AP243" s="2"/>
    </x:row>
    <x:row r="244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  <x:c r="AA244" s="2"/>
      <x:c r="AB244" s="2"/>
      <x:c r="AC244" s="2"/>
      <x:c r="AD244" s="2"/>
      <x:c r="AE244" s="2"/>
      <x:c r="AF244" s="2"/>
      <x:c r="AG244" s="2"/>
      <x:c r="AH244" s="2"/>
      <x:c r="AI244" s="2"/>
      <x:c r="AJ244" s="2"/>
      <x:c r="AK244" s="2"/>
      <x:c r="AL244" s="2"/>
      <x:c r="AM244" s="2"/>
      <x:c r="AN244" s="2"/>
      <x:c r="AO244" s="2"/>
      <x:c r="AP244" s="2"/>
    </x:row>
    <x:row r="245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  <x:c r="AA245" s="2"/>
      <x:c r="AB245" s="2"/>
      <x:c r="AC245" s="2"/>
      <x:c r="AD245" s="2"/>
      <x:c r="AE245" s="2"/>
      <x:c r="AF245" s="2"/>
      <x:c r="AG245" s="2"/>
      <x:c r="AH245" s="2"/>
      <x:c r="AI245" s="2"/>
      <x:c r="AJ245" s="2"/>
      <x:c r="AK245" s="2"/>
      <x:c r="AL245" s="2"/>
      <x:c r="AM245" s="2"/>
      <x:c r="AN245" s="2"/>
      <x:c r="AO245" s="2"/>
      <x:c r="AP245" s="2"/>
    </x:row>
    <x:row r="246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  <x:c r="AA246" s="2"/>
      <x:c r="AB246" s="2"/>
      <x:c r="AC246" s="2"/>
      <x:c r="AD246" s="2"/>
      <x:c r="AE246" s="2"/>
      <x:c r="AF246" s="2"/>
      <x:c r="AG246" s="2"/>
      <x:c r="AH246" s="2"/>
      <x:c r="AI246" s="2"/>
      <x:c r="AJ246" s="2"/>
      <x:c r="AK246" s="2"/>
      <x:c r="AL246" s="2"/>
      <x:c r="AM246" s="2"/>
      <x:c r="AN246" s="2"/>
      <x:c r="AO246" s="2"/>
      <x:c r="AP246" s="2"/>
    </x:row>
    <x:row r="247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  <x:c r="AA247" s="2"/>
      <x:c r="AB247" s="2"/>
      <x:c r="AC247" s="2"/>
      <x:c r="AD247" s="2"/>
      <x:c r="AE247" s="2"/>
      <x:c r="AF247" s="2"/>
      <x:c r="AG247" s="2"/>
      <x:c r="AH247" s="2"/>
      <x:c r="AI247" s="2"/>
      <x:c r="AJ247" s="2"/>
      <x:c r="AK247" s="2"/>
      <x:c r="AL247" s="2"/>
      <x:c r="AM247" s="2"/>
      <x:c r="AN247" s="2"/>
      <x:c r="AO247" s="2"/>
      <x:c r="AP247" s="2"/>
    </x:row>
    <x:row r="248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  <x:c r="AA248" s="2"/>
      <x:c r="AB248" s="2"/>
      <x:c r="AC248" s="2"/>
      <x:c r="AD248" s="2"/>
      <x:c r="AE248" s="2"/>
      <x:c r="AF248" s="2"/>
      <x:c r="AG248" s="2"/>
      <x:c r="AH248" s="2"/>
      <x:c r="AI248" s="2"/>
      <x:c r="AJ248" s="2"/>
      <x:c r="AK248" s="2"/>
      <x:c r="AL248" s="2"/>
      <x:c r="AM248" s="2"/>
      <x:c r="AN248" s="2"/>
      <x:c r="AO248" s="2"/>
      <x:c r="AP248" s="2"/>
    </x:row>
    <x:row r="249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  <x:c r="AA249" s="2"/>
      <x:c r="AB249" s="2"/>
      <x:c r="AC249" s="2"/>
      <x:c r="AD249" s="2"/>
      <x:c r="AE249" s="2"/>
      <x:c r="AF249" s="2"/>
      <x:c r="AG249" s="2"/>
      <x:c r="AH249" s="2"/>
      <x:c r="AI249" s="2"/>
      <x:c r="AJ249" s="2"/>
      <x:c r="AK249" s="2"/>
      <x:c r="AL249" s="2"/>
      <x:c r="AM249" s="2"/>
      <x:c r="AN249" s="2"/>
      <x:c r="AO249" s="2"/>
      <x:c r="AP249" s="2"/>
    </x:row>
    <x:row r="250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  <x:c r="AA250" s="2"/>
      <x:c r="AB250" s="2"/>
      <x:c r="AC250" s="2"/>
      <x:c r="AD250" s="2"/>
      <x:c r="AE250" s="2"/>
      <x:c r="AF250" s="2"/>
      <x:c r="AG250" s="2"/>
      <x:c r="AH250" s="2"/>
      <x:c r="AI250" s="2"/>
      <x:c r="AJ250" s="2"/>
      <x:c r="AK250" s="2"/>
      <x:c r="AL250" s="2"/>
      <x:c r="AM250" s="2"/>
      <x:c r="AN250" s="2"/>
      <x:c r="AO250" s="2"/>
      <x:c r="AP250" s="2"/>
    </x:row>
  </x:sheetData>
  <x:pageMargins left="0.7" right="0.7" top="0.75" bottom="0.75" header="0.3" footer="0.3"/>
  <x:tableParts count="5">
    <x:tablePart xmlns:r="http://schemas.openxmlformats.org/officeDocument/2006/relationships" r:id="R72a41614b3484fd5"/>
    <x:tablePart xmlns:r="http://schemas.openxmlformats.org/officeDocument/2006/relationships" r:id="R7562458085c349c1"/>
    <x:tablePart xmlns:r="http://schemas.openxmlformats.org/officeDocument/2006/relationships" r:id="R196d48c49d72446e"/>
    <x:tablePart xmlns:r="http://schemas.openxmlformats.org/officeDocument/2006/relationships" r:id="Ra95a8f55e63f4e4d"/>
    <x:tablePart xmlns:r="http://schemas.openxmlformats.org/officeDocument/2006/relationships" r:id="R0518f6c98ae040d3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5" ySplit="6" topLeftCell="F7" activePane="bottomRight" state="frozen"/>
    </x:sheetView>
  </x:sheetViews>
  <x:sheetFormatPr defaultRowHeight="15"/>
  <x:cols>
    <x:col min="38" max="38" width="18" hidden="0" customWidth="1"/>
    <x:col min="39" max="39" width="18" hidden="0" customWidth="1"/>
    <x:col min="40" max="40" width="18" hidden="0" customWidth="1"/>
    <x:col min="41" max="41" width="16" hidden="0" customWidth="1"/>
    <x:col min="42" max="42" width="16" hidden="0" customWidth="1"/>
    <x:col min="1" max="1" width="10" hidden="0" customWidth="1"/>
    <x:col min="2" max="2" width="15" hidden="0" customWidth="1"/>
    <x:col min="3" max="3" width="23" hidden="0" customWidth="1"/>
    <x:col min="4" max="4" width="15" hidden="0" customWidth="1"/>
    <x:col min="5" max="5" width="15" hidden="0" customWidth="1"/>
    <x:col min="6" max="6" width="15" hidden="0" customWidth="1"/>
    <x:col min="7" max="7" width="10" hidden="0" customWidth="1"/>
    <x:col min="8" max="8" width="10" hidden="0" customWidth="1"/>
    <x:col min="9" max="9" width="10" hidden="0" customWidth="1"/>
    <x:col min="10" max="10" width="23" hidden="0" customWidth="1"/>
    <x:col min="11" max="11" width="15" hidden="0" customWidth="1"/>
    <x:col min="12" max="12" width="23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55" hidden="0" customWidth="1"/>
    <x:col min="24" max="24" width="25" hidden="0" customWidth="1"/>
    <x:col min="25" max="25" width="23" hidden="0" customWidth="1"/>
    <x:col min="26" max="26" width="23" hidden="0" customWidth="1"/>
    <x:col min="27" max="27" width="23" hidden="0" customWidth="1"/>
    <x:col min="28" max="28" width="15" hidden="0" customWidth="1"/>
    <x:col min="29" max="29" width="32" hidden="0" customWidth="1"/>
    <x:col min="30" max="30" width="15" hidden="0" customWidth="1"/>
    <x:col min="31" max="31" width="15" hidden="0" customWidth="1"/>
    <x:col min="32" max="32" width="15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</x:row>
    <x:row r="2">
      <x:c r="A2" s="3" t="str">
        <x:v>逐条推送后的价格表现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</x:row>
    <x:row r="4">
      <x:c r="A4" s="2" t="str">
        <x:v>来源：不可变 AlertEvent；Canonical 经 MarketDataService 读取；completed Live 经 MarketReadService 读取。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</x:row>
    <x:row r="5">
      <x:c r="A5" s="2" t="str">
        <x:v>北京时间。基准为记录的发送尝试时间之后首个分钟收盘价；15/30/60m 为随后交易分钟。空白终点价需看状态：数据不足或未满，均不计作0。右侧AL:AN保留9月10日快照结果，AO:AP为重叠窗口分组。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</x:row>
    <x:row r="6" ht="36" customHeight="1">
      <x:c r="A6" s="9" t="str">
        <x:v>Event ID</x:v>
      </x:c>
      <x:c r="B6" s="9" t="str">
        <x:v>发送日期</x:v>
      </x:c>
      <x:c r="C6" s="9" t="str">
        <x:v>发送时间</x:v>
      </x:c>
      <x:c r="D6" s="9" t="str">
        <x:v>品种</x:v>
      </x:c>
      <x:c r="E6" s="9" t="str">
        <x:v>物理合约</x:v>
      </x:c>
      <x:c r="F6" s="9" t="str">
        <x:v>策略</x:v>
      </x:c>
      <x:c r="G6" s="9" t="str">
        <x:v>信号周期</x:v>
      </x:c>
      <x:c r="H6" s="9" t="str">
        <x:v>方向</x:v>
      </x:c>
      <x:c r="I6" s="9" t="str">
        <x:v>方向系数</x:v>
      </x:c>
      <x:c r="J6" s="9" t="str">
        <x:v>信号 Bar 时间</x:v>
      </x:c>
      <x:c r="K6" s="9" t="str">
        <x:v>信号收盘价</x:v>
      </x:c>
      <x:c r="L6" s="9" t="str">
        <x:v>观察基准时间</x:v>
      </x:c>
      <x:c r="M6" s="9" t="str">
        <x:v>观察基准价</x:v>
      </x:c>
      <x:c r="N6" s="9" t="str">
        <x:v>15m终点价</x:v>
      </x:c>
      <x:c r="O6" s="9" t="str">
        <x:v>15m方向变化</x:v>
      </x:c>
      <x:c r="P6" s="9" t="str">
        <x:v>30m终点价</x:v>
      </x:c>
      <x:c r="Q6" s="9" t="str">
        <x:v>30m方向变化</x:v>
      </x:c>
      <x:c r="R6" s="9" t="str">
        <x:v>60m终点价</x:v>
      </x:c>
      <x:c r="S6" s="9" t="str">
        <x:v>60m方向变化</x:v>
      </x:c>
      <x:c r="T6" s="9" t="str">
        <x:v>60m判断</x:v>
      </x:c>
      <x:c r="U6" s="9" t="str">
        <x:v>60m最大有利幅度</x:v>
      </x:c>
      <x:c r="V6" s="9" t="str">
        <x:v>60m最大不利幅度</x:v>
      </x:c>
      <x:c r="W6" s="9" t="str">
        <x:v>公式复算</x:v>
      </x:c>
      <x:c r="X6" s="9" t="str">
        <x:v>发送证据</x:v>
      </x:c>
      <x:c r="Y6" s="9" t="str">
        <x:v>15m终点时间</x:v>
      </x:c>
      <x:c r="Z6" s="9" t="str">
        <x:v>30m终点时间</x:v>
      </x:c>
      <x:c r="AA6" s="9" t="str">
        <x:v>60m终点时间</x:v>
      </x:c>
      <x:c r="AB6" s="9" t="str">
        <x:v>识别时间差(秒)</x:v>
      </x:c>
      <x:c r="AC6" s="9" t="str">
        <x:v>Rule code</x:v>
      </x:c>
      <x:c r="AD6" s="9" t="str">
        <x:v>信号价基准15m</x:v>
      </x:c>
      <x:c r="AE6" s="9" t="str">
        <x:v>信号价基准30m</x:v>
      </x:c>
      <x:c r="AF6" s="9" t="str">
        <x:v>信号价基准60m</x:v>
      </x:c>
      <x:c r="AG6" s="9" t="str">
        <x:v>记录分组</x:v>
      </x:c>
      <x:c r="AH6" s="9" t="str">
        <x:v>交易日</x:v>
      </x:c>
      <x:c r="AI6" s="9" t="str">
        <x:v>15m状态</x:v>
      </x:c>
      <x:c r="AJ6" s="9" t="str">
        <x:v>30m状态</x:v>
      </x:c>
      <x:c r="AK6" s="9" t="str">
        <x:v>60m状态</x:v>
      </x:c>
      <x:c r="AL6" s="9" t="str">
        <x:v>9/10快照15m</x:v>
      </x:c>
      <x:c r="AM6" s="9" t="str">
        <x:v>9/10快照30m</x:v>
      </x:c>
      <x:c r="AN6" s="9" t="str">
        <x:v>9/10快照60m</x:v>
      </x:c>
      <x:c r="AO6" s="9" t="str">
        <x:v>60m窗口组</x:v>
      </x:c>
      <x:c r="AP6" s="9" t="str">
        <x:v>组首条</x:v>
      </x:c>
    </x:row>
    <x:row r="7" ht="26" customHeight="1">
      <x:c r="A7" s="2" t="n">
        <x:v>27</x:v>
      </x:c>
      <x:c r="B7" s="4" t="n">
        <x:v>46269</x:v>
      </x:c>
      <x:c r="C7" s="10" t="n">
        <x:v>46269.88549768519</x:v>
      </x:c>
      <x:c r="D7" s="2" t="str">
        <x:v>焦煤</x:v>
      </x:c>
      <x:c r="E7" s="2" t="str">
        <x:v>JM2701</x:v>
      </x:c>
      <x:c r="F7" s="2" t="str">
        <x:v>火天大有</x:v>
      </x:c>
      <x:c r="G7" s="2" t="str">
        <x:v>5m</x:v>
      </x:c>
      <x:c r="H7" s="2" t="str">
        <x:v>多头</x:v>
      </x:c>
      <x:c r="I7" s="2" t="n">
        <x:v>1</x:v>
      </x:c>
      <x:c r="J7" s="10" t="n">
        <x:v>46269.885416666664</x:v>
      </x:c>
      <x:c r="K7" s="11" t="n">
        <x:v>1666.5</x:v>
      </x:c>
      <x:c r="L7" s="10" t="n">
        <x:v>46269.88611111111</x:v>
      </x:c>
      <x:c r="M7" s="11" t="n">
        <x:v>1665</x:v>
      </x:c>
      <x:c r="N7" s="11" t="n">
        <x:v>1681</x:v>
      </x:c>
      <x:c r="O7" s="5" t="n">
        <x:f>IF(N7="","",I7*(N7/M7-1))</x:f>
        <x:v>0.00960960960960966</x:v>
      </x:c>
      <x:c r="P7" s="11" t="n">
        <x:v>1667</x:v>
      </x:c>
      <x:c r="Q7" s="5" t="n">
        <x:f>IF(P7="","",I7*(P7/M7-1))</x:f>
        <x:v>0.001201201201201263</x:v>
      </x:c>
      <x:c r="R7" s="11" t="n">
        <x:v>1672.5</x:v>
      </x:c>
      <x:c r="S7" s="5" t="n">
        <x:f>IF(R7="","",I7*(R7/M7-1))</x:f>
        <x:v>0.0045045045045044585</x:v>
      </x:c>
      <x:c r="T7" s="2" t="str">
        <x:f>IF(R7="",AK7,IF(S7&gt;0,"有利",IF(S7&lt;0,"不利","持平")))</x:f>
        <x:v>有利</x:v>
      </x:c>
      <x:c r="U7" s="5" t="n">
        <x:v>0.012912912912912912</x:v>
      </x:c>
      <x:c r="V7" s="5" t="n">
        <x:v>-0.0036036036036036037</x:v>
      </x:c>
      <x:c r="W7" s="2" t="str">
        <x:v>本次未复算；前次：当前输入复算一致</x:v>
      </x:c>
      <x:c r="X7" s="2" t="str">
        <x:v>逐条结果未留存</x:v>
      </x:c>
      <x:c r="Y7" s="10" t="n">
        <x:v>46269.896527777775</x:v>
      </x:c>
      <x:c r="Z7" s="10" t="n">
        <x:v>46269.90694444445</x:v>
      </x:c>
      <x:c r="AA7" s="10" t="n">
        <x:v>46269.927777777775</x:v>
      </x:c>
      <x:c r="AB7" s="12" t="n">
        <x:v>7.51424</x:v>
      </x:c>
      <x:c r="AC7" s="2" t="str">
        <x:v>htdy_original_15m</x:v>
      </x:c>
      <x:c r="AD7" s="5" t="n">
        <x:v>0.009600960096009602</x:v>
      </x:c>
      <x:c r="AE7" s="5" t="n">
        <x:v>-0.0015001500150015</x:v>
      </x:c>
      <x:c r="AF7" s="5" t="n">
        <x:v>0.003000300030003</x:v>
      </x:c>
      <x:c r="AG7" s="2" t="str">
        <x:v>此前已有</x:v>
      </x:c>
      <x:c r="AH7" s="4" t="n">
        <x:v>46272</x:v>
      </x:c>
      <x:c r="AI7" s="2" t="str">
        <x:v>可评估</x:v>
      </x:c>
      <x:c r="AJ7" s="2" t="str">
        <x:v>可评估</x:v>
      </x:c>
      <x:c r="AK7" s="2" t="str">
        <x:v>可评估</x:v>
      </x:c>
      <x:c r="AL7" s="5" t="n">
        <x:v>0.00960960960960961</x:v>
      </x:c>
      <x:c r="AM7" s="5" t="n">
        <x:v>0.0012012012012012011</x:v>
      </x:c>
      <x:c r="AN7" s="5" t="n">
        <x:v>0.0045045045045045045</x:v>
      </x:c>
      <x:c r="AO7" s="2" t="str">
        <x:v>C27</x:v>
      </x:c>
      <x:c r="AP7" s="2" t="n">
        <x:v>1</x:v>
      </x:c>
    </x:row>
    <x:row r="8" ht="26" customHeight="1">
      <x:c r="A8" s="2" t="n">
        <x:v>28</x:v>
      </x:c>
      <x:c r="B8" s="4" t="n">
        <x:v>46272</x:v>
      </x:c>
      <x:c r="C8" s="10" t="n">
        <x:v>46272.385659722226</x:v>
      </x:c>
      <x:c r="D8" s="2" t="str">
        <x:v>焦煤</x:v>
      </x:c>
      <x:c r="E8" s="2" t="str">
        <x:v>JM2701</x:v>
      </x:c>
      <x:c r="F8" s="2" t="str">
        <x:v>火天大有</x:v>
      </x:c>
      <x:c r="G8" s="2" t="str">
        <x:v>5m</x:v>
      </x:c>
      <x:c r="H8" s="2" t="str">
        <x:v>多头</x:v>
      </x:c>
      <x:c r="I8" s="2" t="n">
        <x:v>1</x:v>
      </x:c>
      <x:c r="J8" s="10" t="n">
        <x:v>46272.385416666664</x:v>
      </x:c>
      <x:c r="K8" s="11" t="n">
        <x:v>1640</x:v>
      </x:c>
      <x:c r="L8" s="10" t="n">
        <x:v>46272.38611111111</x:v>
      </x:c>
      <x:c r="M8" s="11" t="n">
        <x:v>1636.5</x:v>
      </x:c>
      <x:c r="N8" s="11" t="n">
        <x:v>1633</x:v>
      </x:c>
      <x:c r="O8" s="5" t="n">
        <x:f>IF(N8="","",I8*(N8/M8-1))</x:f>
        <x:v>-0.0021387106630003094</x:v>
      </x:c>
      <x:c r="P8" s="11" t="n">
        <x:v>1623.5</x:v>
      </x:c>
      <x:c r="Q8" s="5" t="n">
        <x:f>IF(P8="","",I8*(P8/M8-1))</x:f>
        <x:v>-0.007943782462572546</x:v>
      </x:c>
      <x:c r="R8" s="11" t="n">
        <x:v>1616</x:v>
      </x:c>
      <x:c r="S8" s="5" t="n">
        <x:f>IF(R8="","",I8*(R8/M8-1))</x:f>
        <x:v>-0.01252673388328751</x:v>
      </x:c>
      <x:c r="T8" s="2" t="str">
        <x:f>IF(R8="",AK8,IF(S8&gt;0,"有利",IF(S8&lt;0,"不利","持平")))</x:f>
        <x:v>不利</x:v>
      </x:c>
      <x:c r="U8" s="5" t="n">
        <x:v>0.0009165902841429881</x:v>
      </x:c>
      <x:c r="V8" s="5" t="n">
        <x:v>-0.017415215398716773</x:v>
      </x:c>
      <x:c r="W8" s="2" t="str">
        <x:v>本次未复算；前次：当前输入复算一致</x:v>
      </x:c>
      <x:c r="X8" s="2" t="str">
        <x:v>逐条结果未留存</x:v>
      </x:c>
      <x:c r="Y8" s="10" t="n">
        <x:v>46272.396527777775</x:v>
      </x:c>
      <x:c r="Z8" s="10" t="n">
        <x:v>46272.40694444445</x:v>
      </x:c>
      <x:c r="AA8" s="10" t="n">
        <x:v>46272.43819444445</x:v>
      </x:c>
      <x:c r="AB8" s="12" t="n">
        <x:v>21.783416</x:v>
      </x:c>
      <x:c r="AC8" s="2" t="str">
        <x:v>htdy_original_15m</x:v>
      </x:c>
      <x:c r="AD8" s="5" t="n">
        <x:v>-0.00426829268292683</x:v>
      </x:c>
      <x:c r="AE8" s="5" t="n">
        <x:v>-0.011280487804878048</x:v>
      </x:c>
      <x:c r="AF8" s="5" t="n">
        <x:v>-0.01524390243902439</x:v>
      </x:c>
      <x:c r="AG8" s="2" t="str">
        <x:v>此前已有</x:v>
      </x:c>
      <x:c r="AH8" s="4" t="n">
        <x:v>46272</x:v>
      </x:c>
      <x:c r="AI8" s="2" t="str">
        <x:v>可评估</x:v>
      </x:c>
      <x:c r="AJ8" s="2" t="str">
        <x:v>可评估</x:v>
      </x:c>
      <x:c r="AK8" s="2" t="str">
        <x:v>可评估</x:v>
      </x:c>
      <x:c r="AL8" s="5" t="n">
        <x:v>-0.0021387106630003055</x:v>
      </x:c>
      <x:c r="AM8" s="5" t="n">
        <x:v>-0.007943782462572564</x:v>
      </x:c>
      <x:c r="AN8" s="5" t="n">
        <x:v>-0.012526733883287504</x:v>
      </x:c>
      <x:c r="AO8" s="2" t="str">
        <x:v>C28</x:v>
      </x:c>
      <x:c r="AP8" s="2" t="n">
        <x:v>1</x:v>
      </x:c>
    </x:row>
    <x:row r="9" ht="26" customHeight="1">
      <x:c r="A9" s="2" t="n">
        <x:v>29</x:v>
      </x:c>
      <x:c r="B9" s="4" t="n">
        <x:v>46272</x:v>
      </x:c>
      <x:c r="C9" s="10" t="n">
        <x:v>46272.4065162037</x:v>
      </x:c>
      <x:c r="D9" s="2" t="str">
        <x:v>焦煤</x:v>
      </x:c>
      <x:c r="E9" s="2" t="str">
        <x:v>JM2701</x:v>
      </x:c>
      <x:c r="F9" s="2" t="str">
        <x:v>火天大有</x:v>
      </x:c>
      <x:c r="G9" s="2" t="str">
        <x:v>15m</x:v>
      </x:c>
      <x:c r="H9" s="2" t="str">
        <x:v>多头</x:v>
      </x:c>
      <x:c r="I9" s="2" t="n">
        <x:v>1</x:v>
      </x:c>
      <x:c r="J9" s="10" t="n">
        <x:v>46272.40625</x:v>
      </x:c>
      <x:c r="K9" s="11" t="n">
        <x:v>1621.5</x:v>
      </x:c>
      <x:c r="L9" s="10" t="n">
        <x:v>46272.40694444445</x:v>
      </x:c>
      <x:c r="M9" s="11" t="n">
        <x:v>1623.5</x:v>
      </x:c>
      <x:c r="N9" s="11" t="n">
        <x:v>1609.5</x:v>
      </x:c>
      <x:c r="O9" s="5" t="n">
        <x:f>IF(N9="","",I9*(N9/M9-1))</x:f>
        <x:v>-0.008623344625808493</x:v>
      </x:c>
      <x:c r="P9" s="11" t="n">
        <x:v>1616</x:v>
      </x:c>
      <x:c r="Q9" s="5" t="n">
        <x:f>IF(P9="","",I9*(P9/M9-1))</x:f>
        <x:v>-0.004619648906683094</x:v>
      </x:c>
      <x:c r="R9" s="11" t="n">
        <x:v>1616.5</x:v>
      </x:c>
      <x:c r="S9" s="5" t="n">
        <x:f>IF(R9="","",I9*(R9/M9-1))</x:f>
        <x:v>-0.004311672312904191</x:v>
      </x:c>
      <x:c r="T9" s="2" t="str">
        <x:f>IF(R9="",AK9,IF(S9&gt;0,"有利",IF(S9&lt;0,"不利","持平")))</x:f>
        <x:v>不利</x:v>
      </x:c>
      <x:c r="U9" s="5" t="n">
        <x:v>0.0012319063751154912</x:v>
      </x:c>
      <x:c r="V9" s="5" t="n">
        <x:v>-0.009547274407145057</x:v>
      </x:c>
      <x:c r="W9" s="2" t="str">
        <x:v>本次未复算；前次：当前输入复算一致</x:v>
      </x:c>
      <x:c r="X9" s="2" t="str">
        <x:v>逐条结果未留存</x:v>
      </x:c>
      <x:c r="Y9" s="10" t="n">
        <x:v>46272.41736111111</x:v>
      </x:c>
      <x:c r="Z9" s="10" t="n">
        <x:v>46272.43819444445</x:v>
      </x:c>
      <x:c r="AA9" s="10" t="n">
        <x:v>46272.459027777775</x:v>
      </x:c>
      <x:c r="AB9" s="12" t="n">
        <x:v>23.198706</x:v>
      </x:c>
      <x:c r="AC9" s="2" t="str">
        <x:v>htdy_original_15m</x:v>
      </x:c>
      <x:c r="AD9" s="5" t="n">
        <x:v>-0.003083564600678384</x:v>
      </x:c>
      <x:c r="AE9" s="5" t="n">
        <x:v>-0.004008633980881899</x:v>
      </x:c>
      <x:c r="AF9" s="5" t="n">
        <x:v>-0.004008633980881899</x:v>
      </x:c>
      <x:c r="AG9" s="2" t="str">
        <x:v>此前已有</x:v>
      </x:c>
      <x:c r="AH9" s="4" t="n">
        <x:v>46272</x:v>
      </x:c>
      <x:c r="AI9" s="2" t="str">
        <x:v>可评估</x:v>
      </x:c>
      <x:c r="AJ9" s="2" t="str">
        <x:v>可评估</x:v>
      </x:c>
      <x:c r="AK9" s="2" t="str">
        <x:v>可评估</x:v>
      </x:c>
      <x:c r="AL9" s="5" t="n">
        <x:v>-0.008623344625808438</x:v>
      </x:c>
      <x:c r="AM9" s="5" t="n">
        <x:v>-0.004619648906683092</x:v>
      </x:c>
      <x:c r="AN9" s="5" t="n">
        <x:v>-0.004311672312904219</x:v>
      </x:c>
      <x:c r="AO9" s="2" t="str">
        <x:v>C29</x:v>
      </x:c>
      <x:c r="AP9" s="2" t="n">
        <x:v>1</x:v>
      </x:c>
    </x:row>
    <x:row r="10" ht="26" customHeight="1">
      <x:c r="A10" s="2" t="n">
        <x:v>30</x:v>
      </x:c>
      <x:c r="B10" s="4" t="n">
        <x:v>46272</x:v>
      </x:c>
      <x:c r="C10" s="10" t="n">
        <x:v>46272.88550925926</x:v>
      </x:c>
      <x:c r="D10" s="2" t="str">
        <x:v>短纤</x:v>
      </x:c>
      <x:c r="E10" s="2" t="str">
        <x:v>PF2611</x:v>
      </x:c>
      <x:c r="F10" s="2" t="str">
        <x:v>苏冰</x:v>
      </x:c>
      <x:c r="G10" s="2" t="str">
        <x:v>15m</x:v>
      </x:c>
      <x:c r="H10" s="2" t="str">
        <x:v>空头</x:v>
      </x:c>
      <x:c r="I10" s="2" t="n">
        <x:v>-1</x:v>
      </x:c>
      <x:c r="J10" s="10" t="n">
        <x:v>46272.885416666664</x:v>
      </x:c>
      <x:c r="K10" s="11" t="n">
        <x:v>7856</x:v>
      </x:c>
      <x:c r="L10" s="10" t="n">
        <x:v>46272.88611111111</x:v>
      </x:c>
      <x:c r="M10" s="11" t="n">
        <x:v>7860</x:v>
      </x:c>
      <x:c r="N10" s="11" t="n">
        <x:v>7862</x:v>
      </x:c>
      <x:c r="O10" s="5" t="n">
        <x:f>IF(N10="","",I10*(N10/M10-1))</x:f>
        <x:v>-0.00025445292620873694</x:v>
      </x:c>
      <x:c r="P10" s="11" t="n">
        <x:v>7864</x:v>
      </x:c>
      <x:c r="Q10" s="5" t="n">
        <x:f>IF(P10="","",I10*(P10/M10-1))</x:f>
        <x:v>-0.0005089058524172518</x:v>
      </x:c>
      <x:c r="R10" s="11" t="n">
        <x:v>7872</x:v>
      </x:c>
      <x:c r="S10" s="5" t="n">
        <x:f>IF(R10="","",I10*(R10/M10-1))</x:f>
        <x:v>-0.0015267175572519776</x:v>
      </x:c>
      <x:c r="T10" s="2" t="str">
        <x:f>IF(R10="",AK10,IF(S10&gt;0,"有利",IF(S10&lt;0,"不利","持平")))</x:f>
        <x:v>不利</x:v>
      </x:c>
      <x:c r="U10" s="5" t="n">
        <x:v>0.0015267175572519084</x:v>
      </x:c>
      <x:c r="V10" s="5" t="n">
        <x:v>-0.0033078880407124683</x:v>
      </x:c>
      <x:c r="W10" s="2" t="str">
        <x:v>本次未复算；前次：前次复算一致，本次未重算</x:v>
      </x:c>
      <x:c r="X10" s="2" t="str">
        <x:v>逐条结果未留存</x:v>
      </x:c>
      <x:c r="Y10" s="10" t="n">
        <x:v>46272.896527777775</x:v>
      </x:c>
      <x:c r="Z10" s="10" t="n">
        <x:v>46272.90694444445</x:v>
      </x:c>
      <x:c r="AA10" s="10" t="n">
        <x:v>46272.927777777775</x:v>
      </x:c>
      <x:c r="AB10" s="12" t="n">
        <x:v>8.693295</x:v>
      </x:c>
      <x:c r="AC10" s="2" t="str">
        <x:v>subing_ths_alert_15m_v1</x:v>
      </x:c>
      <x:c r="AD10" s="5" t="n">
        <x:v>-0.0012729124236252546</x:v>
      </x:c>
      <x:c r="AE10" s="5" t="n">
        <x:v>-0.0010183299389002036</x:v>
      </x:c>
      <x:c r="AF10" s="5" t="n">
        <x:v>-0.003564154786150713</x:v>
      </x:c>
      <x:c r="AG10" s="2" t="str">
        <x:v>此前已有</x:v>
      </x:c>
      <x:c r="AH10" s="4" t="n">
        <x:v>46273</x:v>
      </x:c>
      <x:c r="AI10" s="2" t="str">
        <x:v>可评估</x:v>
      </x:c>
      <x:c r="AJ10" s="2" t="str">
        <x:v>可评估</x:v>
      </x:c>
      <x:c r="AK10" s="2" t="str">
        <x:v>可评估</x:v>
      </x:c>
      <x:c r="AL10" s="5" t="n">
        <x:v>-0.0002544529262086514</x:v>
      </x:c>
      <x:c r="AM10" s="5" t="n">
        <x:v>-0.0005089058524173028</x:v>
      </x:c>
      <x:c r="AN10" s="5" t="n">
        <x:v>-0.0015267175572519084</x:v>
      </x:c>
      <x:c r="AO10" s="2" t="str">
        <x:v>C30</x:v>
      </x:c>
      <x:c r="AP10" s="2" t="n">
        <x:v>1</x:v>
      </x:c>
    </x:row>
    <x:row r="11" ht="26" customHeight="1">
      <x:c r="A11" s="2" t="n">
        <x:v>31</x:v>
      </x:c>
      <x:c r="B11" s="4" t="n">
        <x:v>46272</x:v>
      </x:c>
      <x:c r="C11" s="10" t="n">
        <x:v>46272.88559027778</x:v>
      </x:c>
      <x:c r="D11" s="2" t="str">
        <x:v>白银</x:v>
      </x:c>
      <x:c r="E11" s="2" t="str">
        <x:v>AG2610</x:v>
      </x:c>
      <x:c r="F11" s="2" t="str">
        <x:v>苏冰</x:v>
      </x:c>
      <x:c r="G11" s="2" t="str">
        <x:v>15m</x:v>
      </x:c>
      <x:c r="H11" s="2" t="str">
        <x:v>多头</x:v>
      </x:c>
      <x:c r="I11" s="2" t="n">
        <x:v>1</x:v>
      </x:c>
      <x:c r="J11" s="10" t="n">
        <x:v>46272.885416666664</x:v>
      </x:c>
      <x:c r="K11" s="11" t="n">
        <x:v>16049</x:v>
      </x:c>
      <x:c r="L11" s="10" t="n">
        <x:v>46272.88611111111</x:v>
      </x:c>
      <x:c r="M11" s="11" t="n">
        <x:v>16036</x:v>
      </x:c>
      <x:c r="N11" s="11" t="n">
        <x:v>16064</x:v>
      </x:c>
      <x:c r="O11" s="5" t="n">
        <x:f>IF(N11="","",I11*(N11/M11-1))</x:f>
        <x:v>0.0017460713394861216</x:v>
      </x:c>
      <x:c r="P11" s="11" t="n">
        <x:v>16059</x:v>
      </x:c>
      <x:c r="Q11" s="5" t="n">
        <x:f>IF(P11="","",I11*(P11/M11-1))</x:f>
        <x:v>0.0014342728860063936</x:v>
      </x:c>
      <x:c r="R11" s="11" t="n">
        <x:v>16084</x:v>
      </x:c>
      <x:c r="S11" s="5" t="n">
        <x:f>IF(R11="","",I11*(R11/M11-1))</x:f>
        <x:v>0.0029932651534048116</x:v>
      </x:c>
      <x:c r="T11" s="2" t="str">
        <x:f>IF(R11="",AK11,IF(S11&gt;0,"有利",IF(S11&lt;0,"不利","持平")))</x:f>
        <x:v>有利</x:v>
      </x:c>
      <x:c r="U11" s="5" t="n">
        <x:v>0.004489897730107259</x:v>
      </x:c>
      <x:c r="V11" s="5" t="n">
        <x:v>-0.0014342728860064853</x:v>
      </x:c>
      <x:c r="W11" s="2" t="str">
        <x:v>本次未复算；前次：前次复算一致，本次未重算</x:v>
      </x:c>
      <x:c r="X11" s="2" t="str">
        <x:v>逐条结果未留存</x:v>
      </x:c>
      <x:c r="Y11" s="10" t="n">
        <x:v>46272.896527777775</x:v>
      </x:c>
      <x:c r="Z11" s="10" t="n">
        <x:v>46272.90694444445</x:v>
      </x:c>
      <x:c r="AA11" s="10" t="n">
        <x:v>46272.927777777775</x:v>
      </x:c>
      <x:c r="AB11" s="12" t="n">
        <x:v>15.222713</x:v>
      </x:c>
      <x:c r="AC11" s="2" t="str">
        <x:v>subing_ths_alert_15m_v1</x:v>
      </x:c>
      <x:c r="AD11" s="5" t="n">
        <x:v>0.0006230917814194031</x:v>
      </x:c>
      <x:c r="AE11" s="5" t="n">
        <x:v>0.0002492367125677612</x:v>
      </x:c>
      <x:c r="AF11" s="5" t="n">
        <x:v>0.0019315845224001495</x:v>
      </x:c>
      <x:c r="AG11" s="2" t="str">
        <x:v>此前已有</x:v>
      </x:c>
      <x:c r="AH11" s="4" t="n">
        <x:v>46273</x:v>
      </x:c>
      <x:c r="AI11" s="2" t="str">
        <x:v>可评估</x:v>
      </x:c>
      <x:c r="AJ11" s="2" t="str">
        <x:v>可评估</x:v>
      </x:c>
      <x:c r="AK11" s="2" t="str">
        <x:v>可评估</x:v>
      </x:c>
      <x:c r="AL11" s="5" t="n">
        <x:v>0.001746071339486156</x:v>
      </x:c>
      <x:c r="AM11" s="5" t="n">
        <x:v>0.0014342728860064853</x:v>
      </x:c>
      <x:c r="AN11" s="5" t="n">
        <x:v>0.002993265153404839</x:v>
      </x:c>
      <x:c r="AO11" s="2" t="str">
        <x:v>C31</x:v>
      </x:c>
      <x:c r="AP11" s="2" t="n">
        <x:v>1</x:v>
      </x:c>
    </x:row>
    <x:row r="12" ht="26" customHeight="1">
      <x:c r="A12" s="2" t="n">
        <x:v>32</x:v>
      </x:c>
      <x:c r="B12" s="4" t="n">
        <x:v>46272</x:v>
      </x:c>
      <x:c r="C12" s="10" t="n">
        <x:v>46272.8959837963</x:v>
      </x:c>
      <x:c r="D12" s="2" t="str">
        <x:v>铝</x:v>
      </x:c>
      <x:c r="E12" s="2" t="str">
        <x:v>AL2610</x:v>
      </x:c>
      <x:c r="F12" s="2" t="str">
        <x:v>苏冰</x:v>
      </x:c>
      <x:c r="G12" s="2" t="str">
        <x:v>15m</x:v>
      </x:c>
      <x:c r="H12" s="2" t="str">
        <x:v>空头</x:v>
      </x:c>
      <x:c r="I12" s="2" t="n">
        <x:v>-1</x:v>
      </x:c>
      <x:c r="J12" s="10" t="n">
        <x:v>46272.895833333336</x:v>
      </x:c>
      <x:c r="K12" s="11" t="n">
        <x:v>24365</x:v>
      </x:c>
      <x:c r="L12" s="10" t="n">
        <x:v>46272.896527777775</x:v>
      </x:c>
      <x:c r="M12" s="11" t="n">
        <x:v>24375</x:v>
      </x:c>
      <x:c r="N12" s="11" t="n">
        <x:v>24410</x:v>
      </x:c>
      <x:c r="O12" s="5" t="n">
        <x:f>IF(N12="","",I12*(N12/M12-1))</x:f>
        <x:v>-0.0014358974358974486</x:v>
      </x:c>
      <x:c r="P12" s="11" t="n">
        <x:v>24445</x:v>
      </x:c>
      <x:c r="Q12" s="5" t="n">
        <x:f>IF(P12="","",I12*(P12/M12-1))</x:f>
        <x:v>-0.002871794871794897</x:v>
      </x:c>
      <x:c r="R12" s="11" t="n">
        <x:v>24455</x:v>
      </x:c>
      <x:c r="S12" s="5" t="n">
        <x:f>IF(R12="","",I12*(R12/M12-1))</x:f>
        <x:v>-0.0032820512820512793</x:v>
      </x:c>
      <x:c r="T12" s="2" t="str">
        <x:f>IF(R12="",AK12,IF(S12&gt;0,"有利",IF(S12&lt;0,"不利","持平")))</x:f>
        <x:v>不利</x:v>
      </x:c>
      <x:c r="U12" s="5" t="n">
        <x:v>0</x:v>
      </x:c>
      <x:c r="V12" s="5" t="n">
        <x:v>-0.0034871794871794873</x:v>
      </x:c>
      <x:c r="W12" s="2" t="str">
        <x:v>本次未复算；前次：前次复算一致，本次未重算</x:v>
      </x:c>
      <x:c r="X12" s="2" t="str">
        <x:v>逐条结果未留存</x:v>
      </x:c>
      <x:c r="Y12" s="10" t="n">
        <x:v>46272.90694444445</x:v>
      </x:c>
      <x:c r="Z12" s="10" t="n">
        <x:v>46272.91736111111</x:v>
      </x:c>
      <x:c r="AA12" s="10" t="n">
        <x:v>46272.93819444445</x:v>
      </x:c>
      <x:c r="AB12" s="12" t="n">
        <x:v>13.536867</x:v>
      </x:c>
      <x:c r="AC12" s="2" t="str">
        <x:v>subing_ths_alert_15m_v1</x:v>
      </x:c>
      <x:c r="AD12" s="5" t="n">
        <x:v>-0.0016416991586291811</x:v>
      </x:c>
      <x:c r="AE12" s="5" t="n">
        <x:v>-0.0026677611327724196</x:v>
      </x:c>
      <x:c r="AF12" s="5" t="n">
        <x:v>-0.003078185922429715</x:v>
      </x:c>
      <x:c r="AG12" s="2" t="str">
        <x:v>此前已有</x:v>
      </x:c>
      <x:c r="AH12" s="4" t="n">
        <x:v>46273</x:v>
      </x:c>
      <x:c r="AI12" s="2" t="str">
        <x:v>可评估</x:v>
      </x:c>
      <x:c r="AJ12" s="2" t="str">
        <x:v>可评估</x:v>
      </x:c>
      <x:c r="AK12" s="2" t="str">
        <x:v>可评估</x:v>
      </x:c>
      <x:c r="AL12" s="5" t="n">
        <x:v>-0.001435897435897436</x:v>
      </x:c>
      <x:c r="AM12" s="5" t="n">
        <x:v>-0.002871794871794872</x:v>
      </x:c>
      <x:c r="AN12" s="5" t="n">
        <x:v>-0.003282051282051282</x:v>
      </x:c>
      <x:c r="AO12" s="2" t="str">
        <x:v>C32</x:v>
      </x:c>
      <x:c r="AP12" s="2" t="n">
        <x:v>1</x:v>
      </x:c>
    </x:row>
    <x:row r="13" ht="26" customHeight="1">
      <x:c r="A13" s="2" t="n">
        <x:v>33</x:v>
      </x:c>
      <x:c r="B13" s="4" t="n">
        <x:v>46272</x:v>
      </x:c>
      <x:c r="C13" s="10" t="n">
        <x:v>46272.91680555556</x:v>
      </x:c>
      <x:c r="D13" s="2" t="str">
        <x:v>铝</x:v>
      </x:c>
      <x:c r="E13" s="2" t="str">
        <x:v>AL2610</x:v>
      </x:c>
      <x:c r="F13" s="2" t="str">
        <x:v>苏冰</x:v>
      </x:c>
      <x:c r="G13" s="2" t="str">
        <x:v>15m</x:v>
      </x:c>
      <x:c r="H13" s="2" t="str">
        <x:v>多头</x:v>
      </x:c>
      <x:c r="I13" s="2" t="n">
        <x:v>1</x:v>
      </x:c>
      <x:c r="J13" s="10" t="n">
        <x:v>46272.916666666664</x:v>
      </x:c>
      <x:c r="K13" s="11" t="n">
        <x:v>24430</x:v>
      </x:c>
      <x:c r="L13" s="10" t="n">
        <x:v>46272.91736111111</x:v>
      </x:c>
      <x:c r="M13" s="11" t="n">
        <x:v>24445</x:v>
      </x:c>
      <x:c r="N13" s="11" t="n">
        <x:v>24455</x:v>
      </x:c>
      <x:c r="O13" s="5" t="n">
        <x:f>IF(N13="","",I13*(N13/M13-1))</x:f>
        <x:v>0.0004090816117816587</x:v>
      </x:c>
      <x:c r="P13" s="11" t="n">
        <x:v>24455</x:v>
      </x:c>
      <x:c r="Q13" s="5" t="n">
        <x:f>IF(P13="","",I13*(P13/M13-1))</x:f>
        <x:v>0.0004090816117816587</x:v>
      </x:c>
      <x:c r="R13" s="11" t="n">
        <x:v>24460</x:v>
      </x:c>
      <x:c r="S13" s="5" t="n">
        <x:f>IF(R13="","",I13*(R13/M13-1))</x:f>
        <x:v>0.000613622417672266</x:v>
      </x:c>
      <x:c r="T13" s="2" t="str">
        <x:f>IF(R13="",AK13,IF(S13&gt;0,"有利",IF(S13&lt;0,"不利","持平")))</x:f>
        <x:v>有利</x:v>
      </x:c>
      <x:c r="U13" s="5" t="n">
        <x:v>0.0012272448353446513</x:v>
      </x:c>
      <x:c r="V13" s="5" t="n">
        <x:v>-0.0006136224176723256</x:v>
      </x:c>
      <x:c r="W13" s="2" t="str">
        <x:v>本次未复算；前次：前次复算一致，本次未重算</x:v>
      </x:c>
      <x:c r="X13" s="2" t="str">
        <x:v>逐条结果未留存</x:v>
      </x:c>
      <x:c r="Y13" s="10" t="n">
        <x:v>46272.927777777775</x:v>
      </x:c>
      <x:c r="Z13" s="10" t="n">
        <x:v>46272.93819444445</x:v>
      </x:c>
      <x:c r="AA13" s="10" t="n">
        <x:v>46272.959027777775</x:v>
      </x:c>
      <x:c r="AB13" s="12" t="n">
        <x:v>12.964963</x:v>
      </x:c>
      <x:c r="AC13" s="2" t="str">
        <x:v>subing_ths_alert_15m_v1</x:v>
      </x:c>
      <x:c r="AD13" s="5" t="n">
        <x:v>0.0008186655751125665</x:v>
      </x:c>
      <x:c r="AE13" s="5" t="n">
        <x:v>0.00040933278755628325</x:v>
      </x:c>
      <x:c r="AF13" s="5" t="n">
        <x:v>0.0014326647564469914</x:v>
      </x:c>
      <x:c r="AG13" s="2" t="str">
        <x:v>此前已有</x:v>
      </x:c>
      <x:c r="AH13" s="4" t="n">
        <x:v>46273</x:v>
      </x:c>
      <x:c r="AI13" s="2" t="str">
        <x:v>可评估</x:v>
      </x:c>
      <x:c r="AJ13" s="2" t="str">
        <x:v>可评估</x:v>
      </x:c>
      <x:c r="AK13" s="2" t="str">
        <x:v>可评估</x:v>
      </x:c>
      <x:c r="AL13" s="5" t="n">
        <x:v>0.00040908161178155044</x:v>
      </x:c>
      <x:c r="AM13" s="5" t="n">
        <x:v>0.00040908161178155044</x:v>
      </x:c>
      <x:c r="AN13" s="5" t="n">
        <x:v>0.0006136224176723256</x:v>
      </x:c>
      <x:c r="AO13" s="2" t="str">
        <x:v>C33</x:v>
      </x:c>
      <x:c r="AP13" s="2" t="n">
        <x:v>1</x:v>
      </x:c>
    </x:row>
    <x:row r="14" ht="26" customHeight="1">
      <x:c r="A14" s="2" t="n">
        <x:v>34</x:v>
      </x:c>
      <x:c r="B14" s="4" t="n">
        <x:v>46272</x:v>
      </x:c>
      <x:c r="C14" s="10" t="n">
        <x:v>46272.948217592595</x:v>
      </x:c>
      <x:c r="D14" s="2" t="str">
        <x:v>焦煤</x:v>
      </x:c>
      <x:c r="E14" s="2" t="str">
        <x:v>JM2701</x:v>
      </x:c>
      <x:c r="F14" s="2" t="str">
        <x:v>火天大有</x:v>
      </x:c>
      <x:c r="G14" s="2" t="str">
        <x:v>5m</x:v>
      </x:c>
      <x:c r="H14" s="2" t="str">
        <x:v>空头</x:v>
      </x:c>
      <x:c r="I14" s="2" t="n">
        <x:v>-1</x:v>
      </x:c>
      <x:c r="J14" s="10" t="n">
        <x:v>46272.947916666664</x:v>
      </x:c>
      <x:c r="K14" s="11" t="n">
        <x:v>1635.5</x:v>
      </x:c>
      <x:c r="L14" s="10" t="n">
        <x:v>46272.94861111111</x:v>
      </x:c>
      <x:c r="M14" s="11" t="n">
        <x:v>1637</x:v>
      </x:c>
      <x:c r="N14" s="11" t="n">
        <x:v>1636</x:v>
      </x:c>
      <x:c r="O14" s="5" t="n">
        <x:f>IF(N14="","",I14*(N14/M14-1))</x:f>
        <x:v>0.0006108735491753281</x:v>
      </x:c>
      <x:c r="P14" s="11" t="n">
        <x:v>1633</x:v>
      </x:c>
      <x:c r="Q14" s="5" t="n">
        <x:f>IF(P14="","",I14*(P14/M14-1))</x:f>
        <x:v>0.0024434941967013124</x:v>
      </x:c>
      <x:c r="R14" s="11" t="n">
        <x:v>1643.5</x:v>
      </x:c>
      <x:c r="S14" s="5" t="n">
        <x:f>IF(R14="","",I14*(R14/M14-1))</x:f>
        <x:v>-0.003970678069639577</x:v>
      </x:c>
      <x:c r="T14" s="2" t="str">
        <x:f>IF(R14="",AK14,IF(S14&gt;0,"有利",IF(S14&lt;0,"不利","持平")))</x:f>
        <x:v>不利</x:v>
      </x:c>
      <x:c r="U14" s="5" t="n">
        <x:v>0.00794135613927917</x:v>
      </x:c>
      <x:c r="V14" s="5" t="n">
        <x:v>-0.004276114844227245</x:v>
      </x:c>
      <x:c r="W14" s="2" t="str">
        <x:v>本次未复算；前次：当前输入复算一致</x:v>
      </x:c>
      <x:c r="X14" s="2" t="str">
        <x:v>逐条结果未留存</x:v>
      </x:c>
      <x:c r="Y14" s="10" t="n">
        <x:v>46273.37569444445</x:v>
      </x:c>
      <x:c r="Z14" s="10" t="n">
        <x:v>46273.38611111111</x:v>
      </x:c>
      <x:c r="AA14" s="10" t="n">
        <x:v>46273.40694444445</x:v>
      </x:c>
      <x:c r="AB14" s="12" t="n">
        <x:v>26.741886</x:v>
      </x:c>
      <x:c r="AC14" s="2" t="str">
        <x:v>htdy_original_15m</x:v>
      </x:c>
      <x:c r="AD14" s="5" t="n">
        <x:v>0.0006114338122898196</x:v>
      </x:c>
      <x:c r="AE14" s="5" t="n">
        <x:v>0.003057169061449098</x:v>
      </x:c>
      <x:c r="AF14" s="5" t="n">
        <x:v>-0.004280036686028737</x:v>
      </x:c>
      <x:c r="AG14" s="2" t="str">
        <x:v>此前已有</x:v>
      </x:c>
      <x:c r="AH14" s="4" t="n">
        <x:v>46273</x:v>
      </x:c>
      <x:c r="AI14" s="2" t="str">
        <x:v>可评估</x:v>
      </x:c>
      <x:c r="AJ14" s="2" t="str">
        <x:v>可评估</x:v>
      </x:c>
      <x:c r="AK14" s="2" t="str">
        <x:v>可评估</x:v>
      </x:c>
      <x:c r="AL14" s="5" t="n">
        <x:v>0.0006108735491753207</x:v>
      </x:c>
      <x:c r="AM14" s="5" t="n">
        <x:v>0.002443494196701283</x:v>
      </x:c>
      <x:c r="AN14" s="5" t="n">
        <x:v>-0.003970678069639585</x:v>
      </x:c>
      <x:c r="AO14" s="2" t="str">
        <x:v>C34</x:v>
      </x:c>
      <x:c r="AP14" s="2" t="n">
        <x:v>1</x:v>
      </x:c>
    </x:row>
    <x:row r="15" ht="26" customHeight="1">
      <x:c r="A15" s="2" t="n">
        <x:v>35</x:v>
      </x:c>
      <x:c r="B15" s="4" t="n">
        <x:v>46273</x:v>
      </x:c>
      <x:c r="C15" s="10" t="n">
        <x:v>46273.04173611111</x:v>
      </x:c>
      <x:c r="D15" s="2" t="str">
        <x:v>镍</x:v>
      </x:c>
      <x:c r="E15" s="2" t="str">
        <x:v>NI2610</x:v>
      </x:c>
      <x:c r="F15" s="2" t="str">
        <x:v>苏冰</x:v>
      </x:c>
      <x:c r="G15" s="2" t="str">
        <x:v>15m</x:v>
      </x:c>
      <x:c r="H15" s="2" t="str">
        <x:v>空头</x:v>
      </x:c>
      <x:c r="I15" s="2" t="n">
        <x:v>-1</x:v>
      </x:c>
      <x:c r="J15" s="10" t="n">
        <x:v>46273.041666666664</x:v>
      </x:c>
      <x:c r="K15" s="11" t="n">
        <x:v>126750</x:v>
      </x:c>
      <x:c r="L15" s="10" t="n">
        <x:v>46273.37569444445</x:v>
      </x:c>
      <x:c r="M15" s="11" t="n">
        <x:v>126860</x:v>
      </x:c>
      <x:c r="N15" s="11" t="n">
        <x:v>126700</x:v>
      </x:c>
      <x:c r="O15" s="5" t="n">
        <x:f>IF(N15="","",I15*(N15/M15-1))</x:f>
        <x:v>0.0012612328551159235</x:v>
      </x:c>
      <x:c r="P15" s="11" t="n">
        <x:v>126980</x:v>
      </x:c>
      <x:c r="Q15" s="5" t="n">
        <x:f>IF(P15="","",I15*(P15/M15-1))</x:f>
        <x:v>-0.0009459246413368039</x:v>
      </x:c>
      <x:c r="R15" s="11" t="n">
        <x:v>127110</x:v>
      </x:c>
      <x:c r="S15" s="5" t="n">
        <x:f>IF(R15="","",I15*(R15/M15-1))</x:f>
        <x:v>-0.001970676336118471</x:v>
      </x:c>
      <x:c r="T15" s="2" t="str">
        <x:f>IF(R15="",AK15,IF(S15&gt;0,"有利",IF(S15&lt;0,"不利","持平")))</x:f>
        <x:v>不利</x:v>
      </x:c>
      <x:c r="U15" s="5" t="n">
        <x:v>0.001970676336118556</x:v>
      </x:c>
      <x:c r="V15" s="5" t="n">
        <x:v>-0.002680119817121236</x:v>
      </x:c>
      <x:c r="W15" s="2" t="str">
        <x:v>本次未复算；前次：前次复算一致，本次未重算</x:v>
      </x:c>
      <x:c r="X15" s="2" t="str">
        <x:v>逐条结果未留存</x:v>
      </x:c>
      <x:c r="Y15" s="10" t="n">
        <x:v>46273.38611111111</x:v>
      </x:c>
      <x:c r="Z15" s="10" t="n">
        <x:v>46273.396527777775</x:v>
      </x:c>
      <x:c r="AA15" s="10" t="n">
        <x:v>46273.41736111111</x:v>
      </x:c>
      <x:c r="AB15" s="12" t="n">
        <x:v>6.906684</x:v>
      </x:c>
      <x:c r="AC15" s="2" t="str">
        <x:v>subing_ths_alert_15m_v1</x:v>
      </x:c>
      <x:c r="AD15" s="5" t="n">
        <x:v>-0.000631163708086785</x:v>
      </x:c>
      <x:c r="AE15" s="5" t="n">
        <x:v>-0.0019723865877712033</x:v>
      </x:c>
      <x:c r="AF15" s="5" t="n">
        <x:v>-0.0028402366863905324</x:v>
      </x:c>
      <x:c r="AG15" s="2" t="str">
        <x:v>此前已有</x:v>
      </x:c>
      <x:c r="AH15" s="4" t="n">
        <x:v>46273</x:v>
      </x:c>
      <x:c r="AI15" s="2" t="str">
        <x:v>可评估</x:v>
      </x:c>
      <x:c r="AJ15" s="2" t="str">
        <x:v>可评估</x:v>
      </x:c>
      <x:c r="AK15" s="2" t="str">
        <x:v>可评估</x:v>
      </x:c>
      <x:c r="AL15" s="5" t="n">
        <x:v>0.0012612328551158758</x:v>
      </x:c>
      <x:c r="AM15" s="5" t="n">
        <x:v>-0.0009459246413369069</x:v>
      </x:c>
      <x:c r="AN15" s="5" t="n">
        <x:v>-0.001970676336118556</x:v>
      </x:c>
      <x:c r="AO15" s="2" t="str">
        <x:v>C35</x:v>
      </x:c>
      <x:c r="AP15" s="2" t="n">
        <x:v>1</x:v>
      </x:c>
    </x:row>
    <x:row r="16" ht="26" customHeight="1">
      <x:c r="A16" s="2" t="n">
        <x:v>36</x:v>
      </x:c>
      <x:c r="B16" s="4" t="n">
        <x:v>46273</x:v>
      </x:c>
      <x:c r="C16" s="10" t="n">
        <x:v>46273.08336805556</x:v>
      </x:c>
      <x:c r="D16" s="2" t="str">
        <x:v>白银</x:v>
      </x:c>
      <x:c r="E16" s="2" t="str">
        <x:v>AG2610</x:v>
      </x:c>
      <x:c r="F16" s="2" t="str">
        <x:v>苏冰</x:v>
      </x:c>
      <x:c r="G16" s="2" t="str">
        <x:v>15m</x:v>
      </x:c>
      <x:c r="H16" s="2" t="str">
        <x:v>空头</x:v>
      </x:c>
      <x:c r="I16" s="2" t="n">
        <x:v>-1</x:v>
      </x:c>
      <x:c r="J16" s="10" t="n">
        <x:v>46273.083333333336</x:v>
      </x:c>
      <x:c r="K16" s="11" t="n">
        <x:v>16133</x:v>
      </x:c>
      <x:c r="L16" s="10" t="n">
        <x:v>46273.084027777775</x:v>
      </x:c>
      <x:c r="M16" s="11" t="n">
        <x:v>16135</x:v>
      </x:c>
      <x:c r="N16" s="11" t="n">
        <x:v>16132</x:v>
      </x:c>
      <x:c r="O16" s="5" t="n">
        <x:f>IF(N16="","",I16*(N16/M16-1))</x:f>
        <x:v>0.0001859312054539597</x:v>
      </x:c>
      <x:c r="P16" s="11" t="n">
        <x:v>16290</x:v>
      </x:c>
      <x:c r="Q16" s="5" t="n">
        <x:f>IF(P16="","",I16*(P16/M16-1))</x:f>
        <x:v>-0.009606445615122361</x:v>
      </x:c>
      <x:c r="R16" s="11" t="n">
        <x:v>16331</x:v>
      </x:c>
      <x:c r="S16" s="5" t="n">
        <x:f>IF(R16="","",I16*(R16/M16-1))</x:f>
        <x:v>-0.012147505422993587</x:v>
      </x:c>
      <x:c r="T16" s="2" t="str">
        <x:f>IF(R16="",AK16,IF(S16&gt;0,"有利",IF(S16&lt;0,"不利","持平")))</x:f>
        <x:v>不利</x:v>
      </x:c>
      <x:c r="U16" s="5" t="n">
        <x:v>0.0007437248218159281</x:v>
      </x:c>
      <x:c r="V16" s="5" t="n">
        <x:v>-0.013077161450263403</x:v>
      </x:c>
      <x:c r="W16" s="2" t="str">
        <x:v>本次未复算；前次：前次复算一致，本次未重算</x:v>
      </x:c>
      <x:c r="X16" s="2" t="str">
        <x:v>逐条结果未留存</x:v>
      </x:c>
      <x:c r="Y16" s="10" t="n">
        <x:v>46273.09444444445</x:v>
      </x:c>
      <x:c r="Z16" s="10" t="n">
        <x:v>46273.37569444445</x:v>
      </x:c>
      <x:c r="AA16" s="10" t="n">
        <x:v>46273.396527777775</x:v>
      </x:c>
      <x:c r="AB16" s="12" t="n">
        <x:v>3.685702</x:v>
      </x:c>
      <x:c r="AC16" s="2" t="str">
        <x:v>subing_ths_alert_15m_v1</x:v>
      </x:c>
      <x:c r="AD16" s="5" t="n">
        <x:v>0.00006198475175106924</x:v>
      </x:c>
      <x:c r="AE16" s="5" t="n">
        <x:v>-0.0006198475175106924</x:v>
      </x:c>
      <x:c r="AF16" s="5" t="n">
        <x:v>-0.012644889357218124</x:v>
      </x:c>
      <x:c r="AG16" s="2" t="str">
        <x:v>此前已有</x:v>
      </x:c>
      <x:c r="AH16" s="4" t="n">
        <x:v>46273</x:v>
      </x:c>
      <x:c r="AI16" s="2" t="str">
        <x:v>可评估</x:v>
      </x:c>
      <x:c r="AJ16" s="2" t="str">
        <x:v>可评估</x:v>
      </x:c>
      <x:c r="AK16" s="2" t="str">
        <x:v>可评估</x:v>
      </x:c>
      <x:c r="AL16" s="5" t="n">
        <x:v>0.00018593120545398203</x:v>
      </x:c>
      <x:c r="AM16" s="5" t="n">
        <x:v>-0.009606445615122404</x:v>
      </x:c>
      <x:c r="AN16" s="5" t="n">
        <x:v>-0.012147505422993492</x:v>
      </x:c>
      <x:c r="AO16" s="2" t="str">
        <x:v>C36</x:v>
      </x:c>
      <x:c r="AP16" s="2" t="n">
        <x:v>1</x:v>
      </x:c>
    </x:row>
    <x:row r="17" ht="26" customHeight="1">
      <x:c r="A17" s="2" t="n">
        <x:v>37</x:v>
      </x:c>
      <x:c r="B17" s="4" t="n">
        <x:v>46273</x:v>
      </x:c>
      <x:c r="C17" s="10" t="n">
        <x:v>46273.09378472222</x:v>
      </x:c>
      <x:c r="D17" s="2" t="str">
        <x:v>原油</x:v>
      </x:c>
      <x:c r="E17" s="2" t="str">
        <x:v>SC2610</x:v>
      </x:c>
      <x:c r="F17" s="2" t="str">
        <x:v>苏冰</x:v>
      </x:c>
      <x:c r="G17" s="2" t="str">
        <x:v>15m</x:v>
      </x:c>
      <x:c r="H17" s="2" t="str">
        <x:v>多头</x:v>
      </x:c>
      <x:c r="I17" s="2" t="n">
        <x:v>1</x:v>
      </x:c>
      <x:c r="J17" s="10" t="n">
        <x:v>46273.09375</x:v>
      </x:c>
      <x:c r="K17" s="11" t="n">
        <x:v>700.5</x:v>
      </x:c>
      <x:c r="L17" s="10" t="n">
        <x:v>46273.09444444445</x:v>
      </x:c>
      <x:c r="M17" s="11" t="n">
        <x:v>700.5</x:v>
      </x:c>
      <x:c r="N17" s="11" t="n">
        <x:v>696.8</x:v>
      </x:c>
      <x:c r="O17" s="5" t="n">
        <x:f>IF(N17="","",I17*(N17/M17-1))</x:f>
        <x:v>-0.005281941470378415</x:v>
      </x:c>
      <x:c r="P17" s="11" t="n">
        <x:v>696.7</x:v>
      </x:c>
      <x:c r="Q17" s="5" t="n">
        <x:f>IF(P17="","",I17*(P17/M17-1))</x:f>
        <x:v>-0.005424696645253357</x:v>
      </x:c>
      <x:c r="R17" s="11" t="n">
        <x:v>700.1</x:v>
      </x:c>
      <x:c r="S17" s="5" t="n">
        <x:f>IF(R17="","",I17*(R17/M17-1))</x:f>
        <x:v>-0.0005710206995003242</x:v>
      </x:c>
      <x:c r="T17" s="2" t="str">
        <x:f>IF(R17="",AK17,IF(S17&gt;0,"有利",IF(S17&lt;0,"不利","持平")))</x:f>
        <x:v>不利</x:v>
      </x:c>
      <x:c r="U17" s="5" t="n">
        <x:v>0.0009992862241256246</x:v>
      </x:c>
      <x:c r="V17" s="5" t="n">
        <x:v>-0.006566738044254105</x:v>
      </x:c>
      <x:c r="W17" s="2" t="str">
        <x:v>本次未复算；前次：前次复算一致，本次未重算</x:v>
      </x:c>
      <x:c r="X17" s="2" t="str">
        <x:v>逐条结果未留存</x:v>
      </x:c>
      <x:c r="Y17" s="10" t="n">
        <x:v>46273.37569444445</x:v>
      </x:c>
      <x:c r="Z17" s="10" t="n">
        <x:v>46273.38611111111</x:v>
      </x:c>
      <x:c r="AA17" s="10" t="n">
        <x:v>46273.40694444445</x:v>
      </x:c>
      <x:c r="AB17" s="12" t="n">
        <x:v>3.89754</x:v>
      </x:c>
      <x:c r="AC17" s="2" t="str">
        <x:v>subing_ths_alert_15m_v1</x:v>
      </x:c>
      <x:c r="AD17" s="5" t="n">
        <x:v>-0.00014275517487508923</x:v>
      </x:c>
      <x:c r="AE17" s="5" t="n">
        <x:v>-0.0052819414703783015</x:v>
      </x:c>
      <x:c r="AF17" s="5" t="n">
        <x:v>-0.0009992862241256246</x:v>
      </x:c>
      <x:c r="AG17" s="2" t="str">
        <x:v>此前已有</x:v>
      </x:c>
      <x:c r="AH17" s="4" t="n">
        <x:v>46273</x:v>
      </x:c>
      <x:c r="AI17" s="2" t="str">
        <x:v>可评估</x:v>
      </x:c>
      <x:c r="AJ17" s="2" t="str">
        <x:v>可评估</x:v>
      </x:c>
      <x:c r="AK17" s="2" t="str">
        <x:v>可评估</x:v>
      </x:c>
      <x:c r="AL17" s="5" t="n">
        <x:v>-0.0052819414703783015</x:v>
      </x:c>
      <x:c r="AM17" s="5" t="n">
        <x:v>-0.00542469664525339</x:v>
      </x:c>
      <x:c r="AN17" s="5" t="n">
        <x:v>-0.0005710206995003569</x:v>
      </x:c>
      <x:c r="AO17" s="2" t="str">
        <x:v>C37</x:v>
      </x:c>
      <x:c r="AP17" s="2" t="n">
        <x:v>1</x:v>
      </x:c>
    </x:row>
    <x:row r="18" ht="26" customHeight="1">
      <x:c r="A18" s="2" t="n">
        <x:v>38</x:v>
      </x:c>
      <x:c r="B18" s="4" t="n">
        <x:v>46273</x:v>
      </x:c>
      <x:c r="C18" s="10" t="n">
        <x:v>46273.0937962963</x:v>
      </x:c>
      <x:c r="D18" s="2" t="str">
        <x:v>黄金</x:v>
      </x:c>
      <x:c r="E18" s="2" t="str">
        <x:v>AU2610</x:v>
      </x:c>
      <x:c r="F18" s="2" t="str">
        <x:v>苏冰</x:v>
      </x:c>
      <x:c r="G18" s="2" t="str">
        <x:v>15m</x:v>
      </x:c>
      <x:c r="H18" s="2" t="str">
        <x:v>空头</x:v>
      </x:c>
      <x:c r="I18" s="2" t="n">
        <x:v>-1</x:v>
      </x:c>
      <x:c r="J18" s="10" t="n">
        <x:v>46273.09375</x:v>
      </x:c>
      <x:c r="K18" s="11" t="n">
        <x:v>953.76</x:v>
      </x:c>
      <x:c r="L18" s="10" t="n">
        <x:v>46273.09444444445</x:v>
      </x:c>
      <x:c r="M18" s="11" t="n">
        <x:v>953.76</x:v>
      </x:c>
      <x:c r="N18" s="11" t="n">
        <x:v>957.44</x:v>
      </x:c>
      <x:c r="O18" s="5" t="n">
        <x:f>IF(N18="","",I18*(N18/M18-1))</x:f>
        <x:v>-0.00385841301794998</x:v>
      </x:c>
      <x:c r="P18" s="11" t="n">
        <x:v>958.58</x:v>
      </x:c>
      <x:c r="Q18" s="5" t="n">
        <x:f>IF(P18="","",I18*(P18/M18-1))</x:f>
        <x:v>-0.005053682268075788</x:v>
      </x:c>
      <x:c r="R18" s="11" t="n">
        <x:v>960.28</x:v>
      </x:c>
      <x:c r="S18" s="5" t="n">
        <x:f>IF(R18="","",I18*(R18/M18-1))</x:f>
        <x:v>-0.006836101325280897</x:v>
      </x:c>
      <x:c r="T18" s="2" t="str">
        <x:f>IF(R18="",AK18,IF(S18&gt;0,"有利",IF(S18&lt;0,"不利","持平")))</x:f>
        <x:v>不利</x:v>
      </x:c>
      <x:c r="U18" s="5" t="n">
        <x:v>0.0004193927193423922</x:v>
      </x:c>
      <x:c r="V18" s="5" t="n">
        <x:v>-0.00700385841301795</x:v>
      </x:c>
      <x:c r="W18" s="2" t="str">
        <x:v>本次未复算；前次：前次复算一致，本次未重算</x:v>
      </x:c>
      <x:c r="X18" s="2" t="str">
        <x:v>逐条结果未留存</x:v>
      </x:c>
      <x:c r="Y18" s="10" t="n">
        <x:v>46273.37569444445</x:v>
      </x:c>
      <x:c r="Z18" s="10" t="n">
        <x:v>46273.38611111111</x:v>
      </x:c>
      <x:c r="AA18" s="10" t="n">
        <x:v>46273.40694444445</x:v>
      </x:c>
      <x:c r="AB18" s="12" t="n">
        <x:v>4.503024</x:v>
      </x:c>
      <x:c r="AC18" s="2" t="str">
        <x:v>subing_ths_alert_15m_v1</x:v>
      </x:c>
      <x:c r="AD18" s="5" t="n">
        <x:v>-0.0003564838114410334</x:v>
      </x:c>
      <x:c r="AE18" s="5" t="n">
        <x:v>-0.0048439859084046305</x:v>
      </x:c>
      <x:c r="AF18" s="5" t="n">
        <x:v>-0.006039255158530448</x:v>
      </x:c>
      <x:c r="AG18" s="2" t="str">
        <x:v>此前已有</x:v>
      </x:c>
      <x:c r="AH18" s="4" t="n">
        <x:v>46273</x:v>
      </x:c>
      <x:c r="AI18" s="2" t="str">
        <x:v>可评估</x:v>
      </x:c>
      <x:c r="AJ18" s="2" t="str">
        <x:v>可评估</x:v>
      </x:c>
      <x:c r="AK18" s="2" t="str">
        <x:v>可评估</x:v>
      </x:c>
      <x:c r="AL18" s="5" t="n">
        <x:v>-0.0038584130179500084</x:v>
      </x:c>
      <x:c r="AM18" s="5" t="n">
        <x:v>-0.005053682268075827</x:v>
      </x:c>
      <x:c r="AN18" s="5" t="n">
        <x:v>-0.006836101325280993</x:v>
      </x:c>
      <x:c r="AO18" s="2" t="str">
        <x:v>C38</x:v>
      </x:c>
      <x:c r="AP18" s="2" t="n">
        <x:v>1</x:v>
      </x:c>
    </x:row>
    <x:row r="19" ht="26" customHeight="1">
      <x:c r="A19" s="2" t="n">
        <x:v>39</x:v>
      </x:c>
      <x:c r="B19" s="4" t="n">
        <x:v>46273</x:v>
      </x:c>
      <x:c r="C19" s="10" t="n">
        <x:v>46273.38553240741</x:v>
      </x:c>
      <x:c r="D19" s="2" t="str">
        <x:v>白糖</x:v>
      </x:c>
      <x:c r="E19" s="2" t="str">
        <x:v>SR2701</x:v>
      </x:c>
      <x:c r="F19" s="2" t="str">
        <x:v>苏冰</x:v>
      </x:c>
      <x:c r="G19" s="2" t="str">
        <x:v>15m</x:v>
      </x:c>
      <x:c r="H19" s="2" t="str">
        <x:v>多头</x:v>
      </x:c>
      <x:c r="I19" s="2" t="n">
        <x:v>1</x:v>
      </x:c>
      <x:c r="J19" s="10" t="n">
        <x:v>46273.385416666664</x:v>
      </x:c>
      <x:c r="K19" s="11" t="n">
        <x:v>5475</x:v>
      </x:c>
      <x:c r="L19" s="10" t="n">
        <x:v>46273.38611111111</x:v>
      </x:c>
      <x:c r="M19" s="11" t="n">
        <x:v>5475</x:v>
      </x:c>
      <x:c r="N19" s="11" t="n">
        <x:v>5474</x:v>
      </x:c>
      <x:c r="O19" s="5" t="n">
        <x:f>IF(N19="","",I19*(N19/M19-1))</x:f>
        <x:v>-0.00018264840182646847</x:v>
      </x:c>
      <x:c r="P19" s="11" t="n">
        <x:v>5479</x:v>
      </x:c>
      <x:c r="Q19" s="5" t="n">
        <x:f>IF(P19="","",I19*(P19/M19-1))</x:f>
        <x:v>0.0007305936073058739</x:v>
      </x:c>
      <x:c r="R19" s="11" t="n">
        <x:v>5491</x:v>
      </x:c>
      <x:c r="S19" s="5" t="n">
        <x:f>IF(R19="","",I19*(R19/M19-1))</x:f>
        <x:v>0.0029223744292237175</x:v>
      </x:c>
      <x:c r="T19" s="2" t="str">
        <x:f>IF(R19="",AK19,IF(S19&gt;0,"有利",IF(S19&lt;0,"不利","持平")))</x:f>
        <x:v>有利</x:v>
      </x:c>
      <x:c r="U19" s="5" t="n">
        <x:v>0.004018264840182648</x:v>
      </x:c>
      <x:c r="V19" s="5" t="n">
        <x:v>-0.0007305936073059361</x:v>
      </x:c>
      <x:c r="W19" s="2" t="str">
        <x:v>本次未复算；前次：前次复算一致，本次未重算</x:v>
      </x:c>
      <x:c r="X19" s="2" t="str">
        <x:v>逐条结果未留存</x:v>
      </x:c>
      <x:c r="Y19" s="10" t="n">
        <x:v>46273.396527777775</x:v>
      </x:c>
      <x:c r="Z19" s="10" t="n">
        <x:v>46273.40694444445</x:v>
      </x:c>
      <x:c r="AA19" s="10" t="n">
        <x:v>46273.43819444445</x:v>
      </x:c>
      <x:c r="AB19" s="12" t="n">
        <x:v>10.646931</x:v>
      </x:c>
      <x:c r="AC19" s="2" t="str">
        <x:v>subing_ths_alert_15m_v1</x:v>
      </x:c>
      <x:c r="AD19" s="5" t="n">
        <x:v>0.00036529680365296805</x:v>
      </x:c>
      <x:c r="AE19" s="5" t="n">
        <x:v>0.000547945205479452</x:v>
      </x:c>
      <x:c r="AF19" s="5" t="n">
        <x:v>0.002374429223744292</x:v>
      </x:c>
      <x:c r="AG19" s="2" t="str">
        <x:v>此前已有</x:v>
      </x:c>
      <x:c r="AH19" s="4" t="n">
        <x:v>46273</x:v>
      </x:c>
      <x:c r="AI19" s="2" t="str">
        <x:v>可评估</x:v>
      </x:c>
      <x:c r="AJ19" s="2" t="str">
        <x:v>可评估</x:v>
      </x:c>
      <x:c r="AK19" s="2" t="str">
        <x:v>可评估</x:v>
      </x:c>
      <x:c r="AL19" s="5" t="n">
        <x:v>-0.00018264840182648402</x:v>
      </x:c>
      <x:c r="AM19" s="5" t="n">
        <x:v>0.0007305936073059361</x:v>
      </x:c>
      <x:c r="AN19" s="5" t="n">
        <x:v>0.0029223744292237444</x:v>
      </x:c>
      <x:c r="AO19" s="2" t="str">
        <x:v>C39</x:v>
      </x:c>
      <x:c r="AP19" s="2" t="n">
        <x:v>1</x:v>
      </x:c>
    </x:row>
    <x:row r="20" ht="26" customHeight="1">
      <x:c r="A20" s="2" t="n">
        <x:v>40</x:v>
      </x:c>
      <x:c r="B20" s="4" t="n">
        <x:v>46273</x:v>
      </x:c>
      <x:c r="C20" s="10" t="n">
        <x:v>46273.38555555556</x:v>
      </x:c>
      <x:c r="D20" s="2" t="str">
        <x:v>白银</x:v>
      </x:c>
      <x:c r="E20" s="2" t="str">
        <x:v>AG2610</x:v>
      </x:c>
      <x:c r="F20" s="2" t="str">
        <x:v>苏冰</x:v>
      </x:c>
      <x:c r="G20" s="2" t="str">
        <x:v>15m</x:v>
      </x:c>
      <x:c r="H20" s="2" t="str">
        <x:v>多头</x:v>
      </x:c>
      <x:c r="I20" s="2" t="n">
        <x:v>1</x:v>
      </x:c>
      <x:c r="J20" s="10" t="n">
        <x:v>46273.385416666664</x:v>
      </x:c>
      <x:c r="K20" s="11" t="n">
        <x:v>16288</x:v>
      </x:c>
      <x:c r="L20" s="10" t="n">
        <x:v>46273.38611111111</x:v>
      </x:c>
      <x:c r="M20" s="11" t="n">
        <x:v>16301</x:v>
      </x:c>
      <x:c r="N20" s="11" t="n">
        <x:v>16331</x:v>
      </x:c>
      <x:c r="O20" s="5" t="n">
        <x:f>IF(N20="","",I20*(N20/M20-1))</x:f>
        <x:v>0.0018403778909268365</x:v>
      </x:c>
      <x:c r="P20" s="11" t="n">
        <x:v>16317</x:v>
      </x:c>
      <x:c r="Q20" s="5" t="n">
        <x:f>IF(P20="","",I20*(P20/M20-1))</x:f>
        <x:v>0.0009815348751609498</x:v>
      </x:c>
      <x:c r="R20" s="11" t="n">
        <x:v>16278</x:v>
      </x:c>
      <x:c r="S20" s="5" t="n">
        <x:f>IF(R20="","",I20*(R20/M20-1))</x:f>
        <x:v>-0.0014109563830440042</x:v>
      </x:c>
      <x:c r="T20" s="2" t="str">
        <x:f>IF(R20="",AK20,IF(S20&gt;0,"有利",IF(S20&lt;0,"不利","持平")))</x:f>
        <x:v>不利</x:v>
      </x:c>
      <x:c r="U20" s="5" t="n">
        <x:v>0.003680755781853874</x:v>
      </x:c>
      <x:c r="V20" s="5" t="n">
        <x:v>-0.002576529047297712</x:v>
      </x:c>
      <x:c r="W20" s="2" t="str">
        <x:v>本次未复算；前次：前次复算一致，本次未重算</x:v>
      </x:c>
      <x:c r="X20" s="2" t="str">
        <x:v>逐条结果未留存</x:v>
      </x:c>
      <x:c r="Y20" s="10" t="n">
        <x:v>46273.396527777775</x:v>
      </x:c>
      <x:c r="Z20" s="10" t="n">
        <x:v>46273.40694444445</x:v>
      </x:c>
      <x:c r="AA20" s="10" t="n">
        <x:v>46273.43819444445</x:v>
      </x:c>
      <x:c r="AB20" s="12" t="n">
        <x:v>12.500846</x:v>
      </x:c>
      <x:c r="AC20" s="2" t="str">
        <x:v>subing_ths_alert_15m_v1</x:v>
      </x:c>
      <x:c r="AD20" s="5" t="n">
        <x:v>0.003008349705304519</x:v>
      </x:c>
      <x:c r="AE20" s="5" t="n">
        <x:v>0.0011665029469548134</x:v>
      </x:c>
      <x:c r="AF20" s="5" t="n">
        <x:v>-0.0004911591355599214</x:v>
      </x:c>
      <x:c r="AG20" s="2" t="str">
        <x:v>此前已有</x:v>
      </x:c>
      <x:c r="AH20" s="4" t="n">
        <x:v>46273</x:v>
      </x:c>
      <x:c r="AI20" s="2" t="str">
        <x:v>可评估</x:v>
      </x:c>
      <x:c r="AJ20" s="2" t="str">
        <x:v>可评估</x:v>
      </x:c>
      <x:c r="AK20" s="2" t="str">
        <x:v>可评估</x:v>
      </x:c>
      <x:c r="AL20" s="5" t="n">
        <x:v>0.001840377890926937</x:v>
      </x:c>
      <x:c r="AM20" s="5" t="n">
        <x:v>0.000981534875161033</x:v>
      </x:c>
      <x:c r="AN20" s="5" t="n">
        <x:v>-0.001410956383043985</x:v>
      </x:c>
      <x:c r="AO20" s="2" t="str">
        <x:v>C40</x:v>
      </x:c>
      <x:c r="AP20" s="2" t="n">
        <x:v>1</x:v>
      </x:c>
    </x:row>
    <x:row r="21" ht="26" customHeight="1">
      <x:c r="A21" s="2" t="n">
        <x:v>41</x:v>
      </x:c>
      <x:c r="B21" s="4" t="n">
        <x:v>46273</x:v>
      </x:c>
      <x:c r="C21" s="10" t="n">
        <x:v>46273.3855787037</x:v>
      </x:c>
      <x:c r="D21" s="2" t="str">
        <x:v>黄金</x:v>
      </x:c>
      <x:c r="E21" s="2" t="str">
        <x:v>AU2610</x:v>
      </x:c>
      <x:c r="F21" s="2" t="str">
        <x:v>苏冰</x:v>
      </x:c>
      <x:c r="G21" s="2" t="str">
        <x:v>15m</x:v>
      </x:c>
      <x:c r="H21" s="2" t="str">
        <x:v>多头</x:v>
      </x:c>
      <x:c r="I21" s="2" t="n">
        <x:v>1</x:v>
      </x:c>
      <x:c r="J21" s="10" t="n">
        <x:v>46273.385416666664</x:v>
      </x:c>
      <x:c r="K21" s="11" t="n">
        <x:v>958.38</x:v>
      </x:c>
      <x:c r="L21" s="10" t="n">
        <x:v>46273.38611111111</x:v>
      </x:c>
      <x:c r="M21" s="11" t="n">
        <x:v>958.58</x:v>
      </x:c>
      <x:c r="N21" s="11" t="n">
        <x:v>959.46</x:v>
      </x:c>
      <x:c r="O21" s="5" t="n">
        <x:f>IF(N21="","",I21*(N21/M21-1))</x:f>
        <x:v>0.0009180245780215923</x:v>
      </x:c>
      <x:c r="P21" s="11" t="n">
        <x:v>960.28</x:v>
      </x:c>
      <x:c r="Q21" s="5" t="n">
        <x:f>IF(P21="","",I21*(P21/M21-1))</x:f>
        <x:v>0.0017734565711782224</x:v>
      </x:c>
      <x:c r="R21" s="11" t="n">
        <x:v>957.9</x:v>
      </x:c>
      <x:c r="S21" s="5" t="n">
        <x:f>IF(R21="","",I21*(R21/M21-1))</x:f>
        <x:v>-0.0007093826284713112</x:v>
      </x:c>
      <x:c r="T21" s="2" t="str">
        <x:f>IF(R21="",AK21,IF(S21&gt;0,"有利",IF(S21&lt;0,"不利","持平")))</x:f>
        <x:v>不利</x:v>
      </x:c>
      <x:c r="U21" s="5" t="n">
        <x:v>0.0026706169542448205</x:v>
      </x:c>
      <x:c r="V21" s="5" t="n">
        <x:v>-0.001043209747751883</x:v>
      </x:c>
      <x:c r="W21" s="2" t="str">
        <x:v>本次未复算；前次：前次复算一致，本次未重算</x:v>
      </x:c>
      <x:c r="X21" s="2" t="str">
        <x:v>逐条结果未留存</x:v>
      </x:c>
      <x:c r="Y21" s="10" t="n">
        <x:v>46273.396527777775</x:v>
      </x:c>
      <x:c r="Z21" s="10" t="n">
        <x:v>46273.40694444445</x:v>
      </x:c>
      <x:c r="AA21" s="10" t="n">
        <x:v>46273.43819444445</x:v>
      </x:c>
      <x:c r="AB21" s="12" t="n">
        <x:v>14.571045</x:v>
      </x:c>
      <x:c r="AC21" s="2" t="str">
        <x:v>subing_ths_alert_15m_v1</x:v>
      </x:c>
      <x:c r="AD21" s="5" t="n">
        <x:v>0.001314718587616603</x:v>
      </x:c>
      <x:c r="AE21" s="5" t="n">
        <x:v>0.001189507293557879</x:v>
      </x:c>
      <x:c r="AF21" s="5" t="n">
        <x:v>0.00002086854900978735</x:v>
      </x:c>
      <x:c r="AG21" s="2" t="str">
        <x:v>此前已有</x:v>
      </x:c>
      <x:c r="AH21" s="4" t="n">
        <x:v>46273</x:v>
      </x:c>
      <x:c r="AI21" s="2" t="str">
        <x:v>可评估</x:v>
      </x:c>
      <x:c r="AJ21" s="2" t="str">
        <x:v>可评估</x:v>
      </x:c>
      <x:c r="AK21" s="2" t="str">
        <x:v>可评估</x:v>
      </x:c>
      <x:c r="AL21" s="5" t="n">
        <x:v>0.000918024578021657</x:v>
      </x:c>
      <x:c r="AM21" s="5" t="n">
        <x:v>0.0017734565711782012</x:v>
      </x:c>
      <x:c r="AN21" s="5" t="n">
        <x:v>-0.0007093826284712805</x:v>
      </x:c>
      <x:c r="AO21" s="2" t="str">
        <x:v>C41</x:v>
      </x:c>
      <x:c r="AP21" s="2" t="n">
        <x:v>1</x:v>
      </x:c>
    </x:row>
    <x:row r="22" ht="26" customHeight="1">
      <x:c r="A22" s="2" t="n">
        <x:v>42</x:v>
      </x:c>
      <x:c r="B22" s="4" t="n">
        <x:v>46273</x:v>
      </x:c>
      <x:c r="C22" s="10" t="n">
        <x:v>46273.385671296295</x:v>
      </x:c>
      <x:c r="D22" s="2" t="str">
        <x:v>乙二醇</x:v>
      </x:c>
      <x:c r="E22" s="2" t="str">
        <x:v>EG2610</x:v>
      </x:c>
      <x:c r="F22" s="2" t="str">
        <x:v>苏冰</x:v>
      </x:c>
      <x:c r="G22" s="2" t="str">
        <x:v>15m</x:v>
      </x:c>
      <x:c r="H22" s="2" t="str">
        <x:v>空头</x:v>
      </x:c>
      <x:c r="I22" s="2" t="n">
        <x:v>-1</x:v>
      </x:c>
      <x:c r="J22" s="10" t="n">
        <x:v>46273.385416666664</x:v>
      </x:c>
      <x:c r="K22" s="11" t="n">
        <x:v>5674</x:v>
      </x:c>
      <x:c r="L22" s="10" t="n">
        <x:v>46273.38611111111</x:v>
      </x:c>
      <x:c r="M22" s="11" t="n">
        <x:v>5673</x:v>
      </x:c>
      <x:c r="N22" s="11" t="n">
        <x:v>5701</x:v>
      </x:c>
      <x:c r="O22" s="5" t="n">
        <x:f>IF(N22="","",I22*(N22/M22-1))</x:f>
        <x:v>-0.004935660144544274</x:v>
      </x:c>
      <x:c r="P22" s="11" t="n">
        <x:v>5780</x:v>
      </x:c>
      <x:c r="Q22" s="5" t="n">
        <x:f>IF(P22="","",I22*(P22/M22-1))</x:f>
        <x:v>-0.018861272695223086</x:v>
      </x:c>
      <x:c r="R22" s="11" t="n">
        <x:v>5810</x:v>
      </x:c>
      <x:c r="S22" s="5" t="n">
        <x:f>IF(R22="","",I22*(R22/M22-1))</x:f>
        <x:v>-0.02414947999294914</x:v>
      </x:c>
      <x:c r="T22" s="2" t="str">
        <x:f>IF(R22="",AK22,IF(S22&gt;0,"有利",IF(S22&lt;0,"不利","持平")))</x:f>
        <x:v>不利</x:v>
      </x:c>
      <x:c r="U22" s="5" t="n">
        <x:v>0</x:v>
      </x:c>
      <x:c r="V22" s="5" t="n">
        <x:v>-0.02749867794817557</x:v>
      </x:c>
      <x:c r="W22" s="2" t="str">
        <x:v>本次未复算；前次：前次复算一致，本次未重算</x:v>
      </x:c>
      <x:c r="X22" s="2" t="str">
        <x:v>逐条结果未留存</x:v>
      </x:c>
      <x:c r="Y22" s="10" t="n">
        <x:v>46273.396527777775</x:v>
      </x:c>
      <x:c r="Z22" s="10" t="n">
        <x:v>46273.40694444445</x:v>
      </x:c>
      <x:c r="AA22" s="10" t="n">
        <x:v>46273.43819444445</x:v>
      </x:c>
      <x:c r="AB22" s="12" t="n">
        <x:v>22.692038</x:v>
      </x:c>
      <x:c r="AC22" s="2" t="str">
        <x:v>subing_ths_alert_15m_v1</x:v>
      </x:c>
      <x:c r="AD22" s="5" t="n">
        <x:v>-0.0026436376454000705</x:v>
      </x:c>
      <x:c r="AE22" s="5" t="n">
        <x:v>-0.015685583362707086</x:v>
      </x:c>
      <x:c r="AF22" s="5" t="n">
        <x:v>-0.022030313711667256</x:v>
      </x:c>
      <x:c r="AG22" s="2" t="str">
        <x:v>此前已有</x:v>
      </x:c>
      <x:c r="AH22" s="4" t="n">
        <x:v>46273</x:v>
      </x:c>
      <x:c r="AI22" s="2" t="str">
        <x:v>可评估</x:v>
      </x:c>
      <x:c r="AJ22" s="2" t="str">
        <x:v>可评估</x:v>
      </x:c>
      <x:c r="AK22" s="2" t="str">
        <x:v>可评估</x:v>
      </x:c>
      <x:c r="AL22" s="5" t="n">
        <x:v>-0.004935660144544333</x:v>
      </x:c>
      <x:c r="AM22" s="5" t="n">
        <x:v>-0.018861272695222985</x:v>
      </x:c>
      <x:c r="AN22" s="5" t="n">
        <x:v>-0.024149479992949058</x:v>
      </x:c>
      <x:c r="AO22" s="2" t="str">
        <x:v>C42</x:v>
      </x:c>
      <x:c r="AP22" s="2" t="n">
        <x:v>1</x:v>
      </x:c>
    </x:row>
    <x:row r="23" ht="26" customHeight="1">
      <x:c r="A23" s="2" t="n">
        <x:v>43</x:v>
      </x:c>
      <x:c r="B23" s="4" t="n">
        <x:v>46273</x:v>
      </x:c>
      <x:c r="C23" s="10" t="n">
        <x:v>46273.38575231482</x:v>
      </x:c>
      <x:c r="D23" s="2" t="str">
        <x:v>铂金</x:v>
      </x:c>
      <x:c r="E23" s="2" t="str">
        <x:v>PT2610</x:v>
      </x:c>
      <x:c r="F23" s="2" t="str">
        <x:v>苏冰</x:v>
      </x:c>
      <x:c r="G23" s="2" t="str">
        <x:v>15m</x:v>
      </x:c>
      <x:c r="H23" s="2" t="str">
        <x:v>多头</x:v>
      </x:c>
      <x:c r="I23" s="2" t="n">
        <x:v>1</x:v>
      </x:c>
      <x:c r="J23" s="10" t="n">
        <x:v>46273.385416666664</x:v>
      </x:c>
      <x:c r="K23" s="11" t="n">
        <x:v>449.25</x:v>
      </x:c>
      <x:c r="L23" s="10" t="n">
        <x:v>46273.38611111111</x:v>
      </x:c>
      <x:c r="M23" s="11" t="n">
        <x:v>449.65</x:v>
      </x:c>
      <x:c r="N23" s="11" t="n">
        <x:v>450</x:v>
      </x:c>
      <x:c r="O23" s="5" t="n">
        <x:f>IF(N23="","",I23*(N23/M23-1))</x:f>
        <x:v>0.0007783831869232483</x:v>
      </x:c>
      <x:c r="P23" s="11" t="n">
        <x:v>449.55</x:v>
      </x:c>
      <x:c r="Q23" s="5" t="n">
        <x:f>IF(P23="","",I23*(P23/M23-1))</x:f>
        <x:v>-0.00022239519626365833</x:v>
      </x:c>
      <x:c r="R23" s="11" t="n">
        <x:v>447.6</x:v>
      </x:c>
      <x:c r="S23" s="5" t="n">
        <x:f>IF(R23="","",I23*(R23/M23-1))</x:f>
        <x:v>-0.004559101523406994</x:v>
      </x:c>
      <x:c r="T23" s="2" t="str">
        <x:f>IF(R23="",AK23,IF(S23&gt;0,"有利",IF(S23&lt;0,"不利","持平")))</x:f>
        <x:v>不利</x:v>
      </x:c>
      <x:c r="U23" s="5" t="n">
        <x:v>0.0013343711775825643</x:v>
      </x:c>
      <x:c r="V23" s="5" t="n">
        <x:v>-0.005226287112198377</x:v>
      </x:c>
      <x:c r="W23" s="2" t="str">
        <x:v>本次未复算；前次：前次复算一致，本次未重算</x:v>
      </x:c>
      <x:c r="X23" s="2" t="str">
        <x:v>逐条结果未留存</x:v>
      </x:c>
      <x:c r="Y23" s="10" t="n">
        <x:v>46273.396527777775</x:v>
      </x:c>
      <x:c r="Z23" s="10" t="n">
        <x:v>46273.40694444445</x:v>
      </x:c>
      <x:c r="AA23" s="10" t="n">
        <x:v>46273.43819444445</x:v>
      </x:c>
      <x:c r="AB23" s="12" t="n">
        <x:v>29.536236</x:v>
      </x:c>
      <x:c r="AC23" s="2" t="str">
        <x:v>subing_ths_alert_15m_v1</x:v>
      </x:c>
      <x:c r="AD23" s="5" t="n">
        <x:v>0.0017807456872565386</x:v>
      </x:c>
      <x:c r="AE23" s="5" t="n">
        <x:v>-0.00022259321090706732</x:v>
      </x:c>
      <x:c r="AF23" s="5" t="n">
        <x:v>-0.003227601558152476</x:v>
      </x:c>
      <x:c r="AG23" s="2" t="str">
        <x:v>此前已有</x:v>
      </x:c>
      <x:c r="AH23" s="4" t="n">
        <x:v>46273</x:v>
      </x:c>
      <x:c r="AI23" s="2" t="str">
        <x:v>可评估</x:v>
      </x:c>
      <x:c r="AJ23" s="2" t="str">
        <x:v>可评估</x:v>
      </x:c>
      <x:c r="AK23" s="2" t="str">
        <x:v>可评估</x:v>
      </x:c>
      <x:c r="AL23" s="5" t="n">
        <x:v>0.0007783831869231625</x:v>
      </x:c>
      <x:c r="AM23" s="5" t="n">
        <x:v>-0.0002223951962637607</x:v>
      </x:c>
      <x:c r="AN23" s="5" t="n">
        <x:v>-0.004559101523407094</x:v>
      </x:c>
      <x:c r="AO23" s="2" t="str">
        <x:v>C43</x:v>
      </x:c>
      <x:c r="AP23" s="2" t="n">
        <x:v>1</x:v>
      </x:c>
    </x:row>
    <x:row r="24" ht="26" customHeight="1">
      <x:c r="A24" s="2" t="n">
        <x:v>44</x:v>
      </x:c>
      <x:c r="B24" s="4" t="n">
        <x:v>46273</x:v>
      </x:c>
      <x:c r="C24" s="10" t="n">
        <x:v>46273.39592592593</x:v>
      </x:c>
      <x:c r="D24" s="2" t="str">
        <x:v>菜粕</x:v>
      </x:c>
      <x:c r="E24" s="2" t="str">
        <x:v>RM2611</x:v>
      </x:c>
      <x:c r="F24" s="2" t="str">
        <x:v>苏冰</x:v>
      </x:c>
      <x:c r="G24" s="2" t="str">
        <x:v>15m</x:v>
      </x:c>
      <x:c r="H24" s="2" t="str">
        <x:v>空头</x:v>
      </x:c>
      <x:c r="I24" s="2" t="n">
        <x:v>-1</x:v>
      </x:c>
      <x:c r="J24" s="10" t="n">
        <x:v>46273.395833333336</x:v>
      </x:c>
      <x:c r="K24" s="11" t="n">
        <x:v>2355</x:v>
      </x:c>
      <x:c r="L24" s="10" t="n">
        <x:v>46273.396527777775</x:v>
      </x:c>
      <x:c r="M24" s="11" t="n">
        <x:v>2351</x:v>
      </x:c>
      <x:c r="N24" s="11" t="n">
        <x:v>2351</x:v>
      </x:c>
      <x:c r="O24" s="5" t="n">
        <x:f>IF(N24="","",I24*(N24/M24-1))</x:f>
        <x:v>0</x:v>
      </x:c>
      <x:c r="P24" s="11" t="n">
        <x:v>2353</x:v>
      </x:c>
      <x:c r="Q24" s="5" t="n">
        <x:f>IF(P24="","",I24*(P24/M24-1))</x:f>
        <x:v>-0.0008507018290089263</x:v>
      </x:c>
      <x:c r="R24" s="11" t="n">
        <x:v>2353</x:v>
      </x:c>
      <x:c r="S24" s="5" t="n">
        <x:f>IF(R24="","",I24*(R24/M24-1))</x:f>
        <x:v>-0.0008507018290089263</x:v>
      </x:c>
      <x:c r="T24" s="2" t="str">
        <x:f>IF(R24="",AK24,IF(S24&gt;0,"有利",IF(S24&lt;0,"不利","持平")))</x:f>
        <x:v>不利</x:v>
      </x:c>
      <x:c r="U24" s="5" t="n">
        <x:v>0.0017014036580178648</x:v>
      </x:c>
      <x:c r="V24" s="5" t="n">
        <x:v>-0.0034028073160357296</x:v>
      </x:c>
      <x:c r="W24" s="2" t="str">
        <x:v>本次未复算；前次：前次复算一致，本次未重算</x:v>
      </x:c>
      <x:c r="X24" s="2" t="str">
        <x:v>逐条结果未留存</x:v>
      </x:c>
      <x:c r="Y24" s="10" t="n">
        <x:v>46273.40694444445</x:v>
      </x:c>
      <x:c r="Z24" s="10" t="n">
        <x:v>46273.41736111111</x:v>
      </x:c>
      <x:c r="AA24" s="10" t="n">
        <x:v>46273.44861111111</x:v>
      </x:c>
      <x:c r="AB24" s="12" t="n">
        <x:v>8.129028</x:v>
      </x:c>
      <x:c r="AC24" s="2" t="str">
        <x:v>subing_ths_alert_15m_v1</x:v>
      </x:c>
      <x:c r="AD24" s="5" t="n">
        <x:v>0.0012738853503184713</x:v>
      </x:c>
      <x:c r="AE24" s="5" t="n">
        <x:v>0.0004246284501061571</x:v>
      </x:c>
      <x:c r="AF24" s="5" t="n">
        <x:v>0.0012738853503184713</x:v>
      </x:c>
      <x:c r="AG24" s="2" t="str">
        <x:v>此前已有</x:v>
      </x:c>
      <x:c r="AH24" s="4" t="n">
        <x:v>46273</x:v>
      </x:c>
      <x:c r="AI24" s="2" t="str">
        <x:v>可评估</x:v>
      </x:c>
      <x:c r="AJ24" s="2" t="str">
        <x:v>可评估</x:v>
      </x:c>
      <x:c r="AK24" s="2" t="str">
        <x:v>可评估</x:v>
      </x:c>
      <x:c r="AL24" s="5" t="n">
        <x:v>0</x:v>
      </x:c>
      <x:c r="AM24" s="5" t="n">
        <x:v>-0.0008507018290089324</x:v>
      </x:c>
      <x:c r="AN24" s="5" t="n">
        <x:v>-0.0008507018290089324</x:v>
      </x:c>
      <x:c r="AO24" s="2" t="str">
        <x:v>C44</x:v>
      </x:c>
      <x:c r="AP24" s="2" t="n">
        <x:v>1</x:v>
      </x:c>
    </x:row>
    <x:row r="25" ht="26" customHeight="1">
      <x:c r="A25" s="2" t="n">
        <x:v>45</x:v>
      </x:c>
      <x:c r="B25" s="4" t="n">
        <x:v>46273</x:v>
      </x:c>
      <x:c r="C25" s="10" t="n">
        <x:v>46273.396053240744</x:v>
      </x:c>
      <x:c r="D25" s="2" t="str">
        <x:v>原油</x:v>
      </x:c>
      <x:c r="E25" s="2" t="str">
        <x:v>SC2610</x:v>
      </x:c>
      <x:c r="F25" s="2" t="str">
        <x:v>苏冰</x:v>
      </x:c>
      <x:c r="G25" s="2" t="str">
        <x:v>15m</x:v>
      </x:c>
      <x:c r="H25" s="2" t="str">
        <x:v>空头</x:v>
      </x:c>
      <x:c r="I25" s="2" t="n">
        <x:v>-1</x:v>
      </x:c>
      <x:c r="J25" s="10" t="n">
        <x:v>46273.395833333336</x:v>
      </x:c>
      <x:c r="K25" s="11" t="n">
        <x:v>696.7</x:v>
      </x:c>
      <x:c r="L25" s="10" t="n">
        <x:v>46273.396527777775</x:v>
      </x:c>
      <x:c r="M25" s="11" t="n">
        <x:v>697.7</x:v>
      </x:c>
      <x:c r="N25" s="11" t="n">
        <x:v>700.1</x:v>
      </x:c>
      <x:c r="O25" s="5" t="n">
        <x:f>IF(N25="","",I25*(N25/M25-1))</x:f>
        <x:v>-0.003439873871291299</x:v>
      </x:c>
      <x:c r="P25" s="11" t="n">
        <x:v>699.4</x:v>
      </x:c>
      <x:c r="Q25" s="5" t="n">
        <x:f>IF(P25="","",I25*(P25/M25-1))</x:f>
        <x:v>-0.0024365773254979572</x:v>
      </x:c>
      <x:c r="R25" s="11" t="n">
        <x:v>697.5</x:v>
      </x:c>
      <x:c r="S25" s="5" t="n">
        <x:f>IF(R25="","",I25*(R25/M25-1))</x:f>
        <x:v>0.0002866561559410341</x:v>
      </x:c>
      <x:c r="T25" s="2" t="str">
        <x:f>IF(R25="",AK25,IF(S25&gt;0,"有利",IF(S25&lt;0,"不利","持平")))</x:f>
        <x:v>有利</x:v>
      </x:c>
      <x:c r="U25" s="5" t="n">
        <x:v>0.0014332807797047442</x:v>
      </x:c>
      <x:c r="V25" s="5" t="n">
        <x:v>-0.005159810806937079</x:v>
      </x:c>
      <x:c r="W25" s="2" t="str">
        <x:v>本次未复算；前次：前次复算一致，本次未重算</x:v>
      </x:c>
      <x:c r="X25" s="2" t="str">
        <x:v>逐条结果未留存</x:v>
      </x:c>
      <x:c r="Y25" s="10" t="n">
        <x:v>46273.40694444445</x:v>
      </x:c>
      <x:c r="Z25" s="10" t="n">
        <x:v>46273.41736111111</x:v>
      </x:c>
      <x:c r="AA25" s="10" t="n">
        <x:v>46273.44861111111</x:v>
      </x:c>
      <x:c r="AB25" s="12" t="n">
        <x:v>19.724509</x:v>
      </x:c>
      <x:c r="AC25" s="2" t="str">
        <x:v>subing_ths_alert_15m_v1</x:v>
      </x:c>
      <x:c r="AD25" s="5" t="n">
        <x:v>-0.004449547868523037</x:v>
      </x:c>
      <x:c r="AE25" s="5" t="n">
        <x:v>-0.004306014066312616</x:v>
      </x:c>
      <x:c r="AF25" s="5" t="n">
        <x:v>-0.0020094732309458877</x:v>
      </x:c>
      <x:c r="AG25" s="2" t="str">
        <x:v>此前已有</x:v>
      </x:c>
      <x:c r="AH25" s="4" t="n">
        <x:v>46273</x:v>
      </x:c>
      <x:c r="AI25" s="2" t="str">
        <x:v>可评估</x:v>
      </x:c>
      <x:c r="AJ25" s="2" t="str">
        <x:v>可评估</x:v>
      </x:c>
      <x:c r="AK25" s="2" t="str">
        <x:v>可评估</x:v>
      </x:c>
      <x:c r="AL25" s="5" t="n">
        <x:v>-0.003439873871291386</x:v>
      </x:c>
      <x:c r="AM25" s="5" t="n">
        <x:v>-0.0024365773254980652</x:v>
      </x:c>
      <x:c r="AN25" s="5" t="n">
        <x:v>0.00028665615594094884</x:v>
      </x:c>
      <x:c r="AO25" s="2" t="str">
        <x:v>C45</x:v>
      </x:c>
      <x:c r="AP25" s="2" t="n">
        <x:v>1</x:v>
      </x:c>
    </x:row>
    <x:row r="26" ht="26" customHeight="1">
      <x:c r="A26" s="2" t="n">
        <x:v>46</x:v>
      </x:c>
      <x:c r="B26" s="4" t="n">
        <x:v>46273</x:v>
      </x:c>
      <x:c r="C26" s="10" t="n">
        <x:v>46273.39611111111</x:v>
      </x:c>
      <x:c r="D26" s="2" t="str">
        <x:v>铜</x:v>
      </x:c>
      <x:c r="E26" s="2" t="str">
        <x:v>CU2610</x:v>
      </x:c>
      <x:c r="F26" s="2" t="str">
        <x:v>苏冰</x:v>
      </x:c>
      <x:c r="G26" s="2" t="str">
        <x:v>15m</x:v>
      </x:c>
      <x:c r="H26" s="2" t="str">
        <x:v>多头</x:v>
      </x:c>
      <x:c r="I26" s="2" t="n">
        <x:v>1</x:v>
      </x:c>
      <x:c r="J26" s="10" t="n">
        <x:v>46273.395833333336</x:v>
      </x:c>
      <x:c r="K26" s="11" t="n">
        <x:v>110440</x:v>
      </x:c>
      <x:c r="L26" s="10" t="n">
        <x:v>46273.396527777775</x:v>
      </x:c>
      <x:c r="M26" s="11" t="n">
        <x:v>110430</x:v>
      </x:c>
      <x:c r="N26" s="11" t="n">
        <x:v>110800</x:v>
      </x:c>
      <x:c r="O26" s="5" t="n">
        <x:f>IF(N26="","",I26*(N26/M26-1))</x:f>
        <x:v>0.0033505388028616245</x:v>
      </x:c>
      <x:c r="P26" s="11" t="n">
        <x:v>110830</x:v>
      </x:c>
      <x:c r="Q26" s="5" t="n">
        <x:f>IF(P26="","",I26*(P26/M26-1))</x:f>
        <x:v>0.0036222041112017322</x:v>
      </x:c>
      <x:c r="R26" s="11" t="n">
        <x:v>110370</x:v>
      </x:c>
      <x:c r="S26" s="5" t="n">
        <x:f>IF(R26="","",I26*(R26/M26-1))</x:f>
        <x:v>-0.0005433306166802154</x:v>
      </x:c>
      <x:c r="T26" s="2" t="str">
        <x:f>IF(R26="",AK26,IF(S26&gt;0,"有利",IF(S26&lt;0,"不利","持平")))</x:f>
        <x:v>不利</x:v>
      </x:c>
      <x:c r="U26" s="5" t="n">
        <x:v>0.0041655347278819164</x:v>
      </x:c>
      <x:c r="V26" s="5" t="n">
        <x:v>-0.0012677714389205833</x:v>
      </x:c>
      <x:c r="W26" s="2" t="str">
        <x:v>本次未复算；前次：前次复算一致，本次未重算</x:v>
      </x:c>
      <x:c r="X26" s="2" t="str">
        <x:v>逐条结果未留存</x:v>
      </x:c>
      <x:c r="Y26" s="10" t="n">
        <x:v>46273.40694444445</x:v>
      </x:c>
      <x:c r="Z26" s="10" t="n">
        <x:v>46273.41736111111</x:v>
      </x:c>
      <x:c r="AA26" s="10" t="n">
        <x:v>46273.44861111111</x:v>
      </x:c>
      <x:c r="AB26" s="12" t="n">
        <x:v>24.934808</x:v>
      </x:c>
      <x:c r="AC26" s="2" t="str">
        <x:v>subing_ths_alert_15m_v1</x:v>
      </x:c>
      <x:c r="AD26" s="5" t="n">
        <x:v>0.003621876131836291</x:v>
      </x:c>
      <x:c r="AE26" s="5" t="n">
        <x:v>0.0030785947120608474</x:v>
      </x:c>
      <x:c r="AF26" s="5" t="n">
        <x:v>-0.00018109380659181456</x:v>
      </x:c>
      <x:c r="AG26" s="2" t="str">
        <x:v>此前已有</x:v>
      </x:c>
      <x:c r="AH26" s="4" t="n">
        <x:v>46273</x:v>
      </x:c>
      <x:c r="AI26" s="2" t="str">
        <x:v>可评估</x:v>
      </x:c>
      <x:c r="AJ26" s="2" t="str">
        <x:v>可评估</x:v>
      </x:c>
      <x:c r="AK26" s="2" t="str">
        <x:v>可评估</x:v>
      </x:c>
      <x:c r="AL26" s="5" t="n">
        <x:v>0.0033505388028615413</x:v>
      </x:c>
      <x:c r="AM26" s="5" t="n">
        <x:v>0.0036222041112016663</x:v>
      </x:c>
      <x:c r="AN26" s="5" t="n">
        <x:v>-0.0005433306166802499</x:v>
      </x:c>
      <x:c r="AO26" s="2" t="str">
        <x:v>C46</x:v>
      </x:c>
      <x:c r="AP26" s="2" t="n">
        <x:v>1</x:v>
      </x:c>
    </x:row>
    <x:row r="27" ht="26" customHeight="1">
      <x:c r="A27" s="2" t="n">
        <x:v>47</x:v>
      </x:c>
      <x:c r="B27" s="4" t="n">
        <x:v>46273</x:v>
      </x:c>
      <x:c r="C27" s="10" t="n">
        <x:v>46273.396157407406</x:v>
      </x:c>
      <x:c r="D27" s="2" t="str">
        <x:v>锡</x:v>
      </x:c>
      <x:c r="E27" s="2" t="str">
        <x:v>SN2610</x:v>
      </x:c>
      <x:c r="F27" s="2" t="str">
        <x:v>苏冰</x:v>
      </x:c>
      <x:c r="G27" s="2" t="str">
        <x:v>15m</x:v>
      </x:c>
      <x:c r="H27" s="2" t="str">
        <x:v>多头</x:v>
      </x:c>
      <x:c r="I27" s="2" t="n">
        <x:v>1</x:v>
      </x:c>
      <x:c r="J27" s="10" t="n">
        <x:v>46273.395833333336</x:v>
      </x:c>
      <x:c r="K27" s="11" t="n">
        <x:v>420000</x:v>
      </x:c>
      <x:c r="L27" s="10" t="n">
        <x:v>46273.396527777775</x:v>
      </x:c>
      <x:c r="M27" s="11" t="n">
        <x:v>419780</x:v>
      </x:c>
      <x:c r="N27" s="11" t="n">
        <x:v>420250</x:v>
      </x:c>
      <x:c r="O27" s="5" t="n">
        <x:f>IF(N27="","",I27*(N27/M27-1))</x:f>
        <x:v>0.0011196340940493599</x:v>
      </x:c>
      <x:c r="P27" s="11" t="n">
        <x:v>420410</x:v>
      </x:c>
      <x:c r="Q27" s="5" t="n">
        <x:f>IF(P27="","",I27*(P27/M27-1))</x:f>
        <x:v>0.0015007861260660782</x:v>
      </x:c>
      <x:c r="R27" s="11" t="n">
        <x:v>418320</x:v>
      </x:c>
      <x:c r="S27" s="5" t="n">
        <x:f>IF(R27="","",I27*(R27/M27-1))</x:f>
        <x:v>-0.0034780122921530543</x:v>
      </x:c>
      <x:c r="T27" s="2" t="str">
        <x:f>IF(R27="",AK27,IF(S27&gt;0,"有利",IF(S27&lt;0,"不利","持平")))</x:f>
        <x:v>不利</x:v>
      </x:c>
      <x:c r="U27" s="5" t="n">
        <x:v>0.005288484444232694</x:v>
      </x:c>
      <x:c r="V27" s="5" t="n">
        <x:v>-0.0038115203201677067</x:v>
      </x:c>
      <x:c r="W27" s="2" t="str">
        <x:v>本次未复算；前次：前次复算一致，本次未重算</x:v>
      </x:c>
      <x:c r="X27" s="2" t="str">
        <x:v>逐条结果未留存</x:v>
      </x:c>
      <x:c r="Y27" s="10" t="n">
        <x:v>46273.40694444445</x:v>
      </x:c>
      <x:c r="Z27" s="10" t="n">
        <x:v>46273.41736111111</x:v>
      </x:c>
      <x:c r="AA27" s="10" t="n">
        <x:v>46273.44861111111</x:v>
      </x:c>
      <x:c r="AB27" s="12" t="n">
        <x:v>28.316441</x:v>
      </x:c>
      <x:c r="AC27" s="2" t="str">
        <x:v>subing_ths_alert_15m_v1</x:v>
      </x:c>
      <x:c r="AD27" s="5" t="n">
        <x:v>0.0003333333333333333</x:v>
      </x:c>
      <x:c r="AE27" s="5" t="n">
        <x:v>0.0006428571428571428</x:v>
      </x:c>
      <x:c r="AF27" s="5" t="n">
        <x:v>-0.003928571428571429</x:v>
      </x:c>
      <x:c r="AG27" s="2" t="str">
        <x:v>此前已有</x:v>
      </x:c>
      <x:c r="AH27" s="4" t="n">
        <x:v>46273</x:v>
      </x:c>
      <x:c r="AI27" s="2" t="str">
        <x:v>可评估</x:v>
      </x:c>
      <x:c r="AJ27" s="2" t="str">
        <x:v>可评估</x:v>
      </x:c>
      <x:c r="AK27" s="2" t="str">
        <x:v>可评估</x:v>
      </x:c>
      <x:c r="AL27" s="5" t="n">
        <x:v>0.0011196340940492638</x:v>
      </x:c>
      <x:c r="AM27" s="5" t="n">
        <x:v>0.0015007861260660346</x:v>
      </x:c>
      <x:c r="AN27" s="5" t="n">
        <x:v>-0.0034780122921530326</x:v>
      </x:c>
      <x:c r="AO27" s="2" t="str">
        <x:v>C47</x:v>
      </x:c>
      <x:c r="AP27" s="2" t="n">
        <x:v>1</x:v>
      </x:c>
    </x:row>
    <x:row r="28" ht="26" customHeight="1">
      <x:c r="A28" s="2" t="n">
        <x:v>48</x:v>
      </x:c>
      <x:c r="B28" s="4" t="n">
        <x:v>46273</x:v>
      </x:c>
      <x:c r="C28" s="10" t="n">
        <x:v>46273.39618055556</x:v>
      </x:c>
      <x:c r="D28" s="2" t="str">
        <x:v>锌</x:v>
      </x:c>
      <x:c r="E28" s="2" t="str">
        <x:v>ZN2610</x:v>
      </x:c>
      <x:c r="F28" s="2" t="str">
        <x:v>苏冰</x:v>
      </x:c>
      <x:c r="G28" s="2" t="str">
        <x:v>15m</x:v>
      </x:c>
      <x:c r="H28" s="2" t="str">
        <x:v>多头</x:v>
      </x:c>
      <x:c r="I28" s="2" t="n">
        <x:v>1</x:v>
      </x:c>
      <x:c r="J28" s="10" t="n">
        <x:v>46273.395833333336</x:v>
      </x:c>
      <x:c r="K28" s="11" t="n">
        <x:v>27495</x:v>
      </x:c>
      <x:c r="L28" s="10" t="n">
        <x:v>46273.396527777775</x:v>
      </x:c>
      <x:c r="M28" s="11" t="n">
        <x:v>27495</x:v>
      </x:c>
      <x:c r="N28" s="11" t="n">
        <x:v>27635</x:v>
      </x:c>
      <x:c r="O28" s="5" t="n">
        <x:f>IF(N28="","",I28*(N28/M28-1))</x:f>
        <x:v>0.005091834879068946</x:v>
      </x:c>
      <x:c r="P28" s="11" t="n">
        <x:v>27625</x:v>
      </x:c>
      <x:c r="Q28" s="5" t="n">
        <x:f>IF(P28="","",I28*(P28/M28-1))</x:f>
        <x:v>0.004728132387706863</x:v>
      </x:c>
      <x:c r="R28" s="11" t="n">
        <x:v>27590</x:v>
      </x:c>
      <x:c r="S28" s="5" t="n">
        <x:f>IF(R28="","",I28*(R28/M28-1))</x:f>
        <x:v>0.0034551736679395706</x:v>
      </x:c>
      <x:c r="T28" s="2" t="str">
        <x:f>IF(R28="",AK28,IF(S28&gt;0,"有利",IF(S28&lt;0,"不利","持平")))</x:f>
        <x:v>有利</x:v>
      </x:c>
      <x:c r="U28" s="5" t="n">
        <x:v>0.008001454809965449</x:v>
      </x:c>
      <x:c r="V28" s="5" t="n">
        <x:v>-0.0001818512456810329</x:v>
      </x:c>
      <x:c r="W28" s="2" t="str">
        <x:v>本次未复算；前次：前次复算一致，本次未重算</x:v>
      </x:c>
      <x:c r="X28" s="2" t="str">
        <x:v>逐条结果未留存</x:v>
      </x:c>
      <x:c r="Y28" s="10" t="n">
        <x:v>46273.40694444445</x:v>
      </x:c>
      <x:c r="Z28" s="10" t="n">
        <x:v>46273.41736111111</x:v>
      </x:c>
      <x:c r="AA28" s="10" t="n">
        <x:v>46273.44861111111</x:v>
      </x:c>
      <x:c r="AB28" s="12" t="n">
        <x:v>30.33997</x:v>
      </x:c>
      <x:c r="AC28" s="2" t="str">
        <x:v>subing_ths_alert_15m_v1</x:v>
      </x:c>
      <x:c r="AD28" s="5" t="n">
        <x:v>0.00563738861611202</x:v>
      </x:c>
      <x:c r="AE28" s="5" t="n">
        <x:v>0.004182578650663757</x:v>
      </x:c>
      <x:c r="AF28" s="5" t="n">
        <x:v>0.0036370249136206583</x:v>
      </x:c>
      <x:c r="AG28" s="2" t="str">
        <x:v>此前已有</x:v>
      </x:c>
      <x:c r="AH28" s="4" t="n">
        <x:v>46273</x:v>
      </x:c>
      <x:c r="AI28" s="2" t="str">
        <x:v>可评估</x:v>
      </x:c>
      <x:c r="AJ28" s="2" t="str">
        <x:v>可评估</x:v>
      </x:c>
      <x:c r="AK28" s="2" t="str">
        <x:v>可评估</x:v>
      </x:c>
      <x:c r="AL28" s="5" t="n">
        <x:v>0.005091834879068922</x:v>
      </x:c>
      <x:c r="AM28" s="5" t="n">
        <x:v>0.004728132387706856</x:v>
      </x:c>
      <x:c r="AN28" s="5" t="n">
        <x:v>0.0034551736679396252</x:v>
      </x:c>
      <x:c r="AO28" s="2" t="str">
        <x:v>C48</x:v>
      </x:c>
      <x:c r="AP28" s="2" t="n">
        <x:v>1</x:v>
      </x:c>
    </x:row>
    <x:row r="29" ht="26" customHeight="1">
      <x:c r="A29" s="2" t="n">
        <x:v>49</x:v>
      </x:c>
      <x:c r="B29" s="4" t="n">
        <x:v>46273</x:v>
      </x:c>
      <x:c r="C29" s="10" t="n">
        <x:v>46273.39622685185</x:v>
      </x:c>
      <x:c r="D29" s="2" t="str">
        <x:v>液化石油气</x:v>
      </x:c>
      <x:c r="E29" s="2" t="str">
        <x:v>PG2610</x:v>
      </x:c>
      <x:c r="F29" s="2" t="str">
        <x:v>苏冰</x:v>
      </x:c>
      <x:c r="G29" s="2" t="str">
        <x:v>15m</x:v>
      </x:c>
      <x:c r="H29" s="2" t="str">
        <x:v>空头</x:v>
      </x:c>
      <x:c r="I29" s="2" t="n">
        <x:v>-1</x:v>
      </x:c>
      <x:c r="J29" s="10" t="n">
        <x:v>46273.395833333336</x:v>
      </x:c>
      <x:c r="K29" s="11" t="n">
        <x:v>6612</x:v>
      </x:c>
      <x:c r="L29" s="10" t="n">
        <x:v>46273.396527777775</x:v>
      </x:c>
      <x:c r="M29" s="11" t="n">
        <x:v>6609</x:v>
      </x:c>
      <x:c r="N29" s="11" t="n">
        <x:v>6635</x:v>
      </x:c>
      <x:c r="O29" s="5" t="n">
        <x:f>IF(N29="","",I29*(N29/M29-1))</x:f>
        <x:v>-0.003934029353911406</x:v>
      </x:c>
      <x:c r="P29" s="11" t="n">
        <x:v>6618</x:v>
      </x:c>
      <x:c r="Q29" s="5" t="n">
        <x:f>IF(P29="","",I29*(P29/M29-1))</x:f>
        <x:v>-0.001361779391738649</x:v>
      </x:c>
      <x:c r="R29" s="11" t="n">
        <x:v>6619</x:v>
      </x:c>
      <x:c r="S29" s="5" t="n">
        <x:f>IF(R29="","",I29*(R29/M29-1))</x:f>
        <x:v>-0.0015130882130427459</x:v>
      </x:c>
      <x:c r="T29" s="2" t="str">
        <x:f>IF(R29="",AK29,IF(S29&gt;0,"有利",IF(S29&lt;0,"不利","持平")))</x:f>
        <x:v>不利</x:v>
      </x:c>
      <x:c r="U29" s="5" t="n">
        <x:v>0.003480102889998487</x:v>
      </x:c>
      <x:c r="V29" s="5" t="n">
        <x:v>-0.005598426388258435</x:v>
      </x:c>
      <x:c r="W29" s="2" t="str">
        <x:v>本次未复算；前次：前次复算一致，本次未重算</x:v>
      </x:c>
      <x:c r="X29" s="2" t="str">
        <x:v>逐条结果未留存</x:v>
      </x:c>
      <x:c r="Y29" s="10" t="n">
        <x:v>46273.40694444445</x:v>
      </x:c>
      <x:c r="Z29" s="10" t="n">
        <x:v>46273.41736111111</x:v>
      </x:c>
      <x:c r="AA29" s="10" t="n">
        <x:v>46273.44861111111</x:v>
      </x:c>
      <x:c r="AB29" s="12" t="n">
        <x:v>34.154202</x:v>
      </x:c>
      <x:c r="AC29" s="2" t="str">
        <x:v>subing_ths_alert_15m_v1</x:v>
      </x:c>
      <x:c r="AD29" s="5" t="n">
        <x:v>-0.0030248033877797943</x:v>
      </x:c>
      <x:c r="AE29" s="5" t="n">
        <x:v>-0.0015124016938898972</x:v>
      </x:c>
      <x:c r="AF29" s="5" t="n">
        <x:v>-0.0024198427102238356</x:v>
      </x:c>
      <x:c r="AG29" s="2" t="str">
        <x:v>此前已有</x:v>
      </x:c>
      <x:c r="AH29" s="4" t="n">
        <x:v>46273</x:v>
      </x:c>
      <x:c r="AI29" s="2" t="str">
        <x:v>可评估</x:v>
      </x:c>
      <x:c r="AJ29" s="2" t="str">
        <x:v>可评估</x:v>
      </x:c>
      <x:c r="AK29" s="2" t="str">
        <x:v>可评估</x:v>
      </x:c>
      <x:c r="AL29" s="5" t="n">
        <x:v>-0.003934029353911333</x:v>
      </x:c>
      <x:c r="AM29" s="5" t="n">
        <x:v>-0.0013617793917385383</x:v>
      </x:c>
      <x:c r="AN29" s="5" t="n">
        <x:v>-0.0015130882130428205</x:v>
      </x:c>
      <x:c r="AO29" s="2" t="str">
        <x:v>C49</x:v>
      </x:c>
      <x:c r="AP29" s="2" t="n">
        <x:v>1</x:v>
      </x:c>
    </x:row>
    <x:row r="30" ht="26" customHeight="1">
      <x:c r="A30" s="2" t="n">
        <x:v>50</x:v>
      </x:c>
      <x:c r="B30" s="4" t="n">
        <x:v>46273</x:v>
      </x:c>
      <x:c r="C30" s="10" t="n">
        <x:v>46273.39625</x:v>
      </x:c>
      <x:c r="D30" s="2" t="str">
        <x:v>钯金</x:v>
      </x:c>
      <x:c r="E30" s="2" t="str">
        <x:v>PD2610</x:v>
      </x:c>
      <x:c r="F30" s="2" t="str">
        <x:v>苏冰</x:v>
      </x:c>
      <x:c r="G30" s="2" t="str">
        <x:v>15m</x:v>
      </x:c>
      <x:c r="H30" s="2" t="str">
        <x:v>多头</x:v>
      </x:c>
      <x:c r="I30" s="2" t="n">
        <x:v>1</x:v>
      </x:c>
      <x:c r="J30" s="10" t="n">
        <x:v>46273.395833333336</x:v>
      </x:c>
      <x:c r="K30" s="11" t="n">
        <x:v>325.9</x:v>
      </x:c>
      <x:c r="L30" s="10" t="n">
        <x:v>46273.396527777775</x:v>
      </x:c>
      <x:c r="M30" s="11" t="n">
        <x:v>325.85</x:v>
      </x:c>
      <x:c r="N30" s="11" t="n">
        <x:v>325.7</x:v>
      </x:c>
      <x:c r="O30" s="5" t="n">
        <x:f>IF(N30="","",I30*(N30/M30-1))</x:f>
        <x:v>-0.0004603345097438094</x:v>
      </x:c>
      <x:c r="P30" s="11" t="n">
        <x:v>325.7</x:v>
      </x:c>
      <x:c r="Q30" s="5" t="n">
        <x:f>IF(P30="","",I30*(P30/M30-1))</x:f>
        <x:v>-0.0004603345097438094</x:v>
      </x:c>
      <x:c r="R30" s="11" t="n">
        <x:v>323.4</x:v>
      </x:c>
      <x:c r="S30" s="5" t="n">
        <x:f>IF(R30="","",I30*(R30/M30-1))</x:f>
        <x:v>-0.007518796992481369</x:v>
      </x:c>
      <x:c r="T30" s="2" t="str">
        <x:f>IF(R30="",AK30,IF(S30&gt;0,"有利",IF(S30&lt;0,"不利","持平")))</x:f>
        <x:v>不利</x:v>
      </x:c>
      <x:c r="U30" s="5" t="n">
        <x:v>0.0010741138560687433</x:v>
      </x:c>
      <x:c r="V30" s="5" t="n">
        <x:v>-0.008132576338806199</x:v>
      </x:c>
      <x:c r="W30" s="2" t="str">
        <x:v>本次未复算；前次：前次复算一致，本次未重算</x:v>
      </x:c>
      <x:c r="X30" s="2" t="str">
        <x:v>逐条结果未留存</x:v>
      </x:c>
      <x:c r="Y30" s="10" t="n">
        <x:v>46273.40694444445</x:v>
      </x:c>
      <x:c r="Z30" s="10" t="n">
        <x:v>46273.41736111111</x:v>
      </x:c>
      <x:c r="AA30" s="10" t="n">
        <x:v>46273.44861111111</x:v>
      </x:c>
      <x:c r="AB30" s="12" t="n">
        <x:v>36.076672</x:v>
      </x:c>
      <x:c r="AC30" s="2" t="str">
        <x:v>subing_ths_alert_15m_v1</x:v>
      </x:c>
      <x:c r="AD30" s="5" t="n">
        <x:v>-0.0019944768333844736</x:v>
      </x:c>
      <x:c r="AE30" s="5" t="n">
        <x:v>-0.0010739490641301012</x:v>
      </x:c>
      <x:c r="AF30" s="5" t="n">
        <x:v>-0.007057379564283523</x:v>
      </x:c>
      <x:c r="AG30" s="2" t="str">
        <x:v>此前已有</x:v>
      </x:c>
      <x:c r="AH30" s="4" t="n">
        <x:v>46273</x:v>
      </x:c>
      <x:c r="AI30" s="2" t="str">
        <x:v>可评估</x:v>
      </x:c>
      <x:c r="AJ30" s="2" t="str">
        <x:v>可评估</x:v>
      </x:c>
      <x:c r="AK30" s="2" t="str">
        <x:v>可评估</x:v>
      </x:c>
      <x:c r="AL30" s="5" t="n">
        <x:v>-0.0004603345097437471</x:v>
      </x:c>
      <x:c r="AM30" s="5" t="n">
        <x:v>-0.0004603345097437471</x:v>
      </x:c>
      <x:c r="AN30" s="5" t="n">
        <x:v>-0.007518796992481203</x:v>
      </x:c>
      <x:c r="AO30" s="2" t="str">
        <x:v>C50</x:v>
      </x:c>
      <x:c r="AP30" s="2" t="n">
        <x:v>1</x:v>
      </x:c>
    </x:row>
    <x:row r="31" ht="26" customHeight="1">
      <x:c r="A31" s="2" t="n">
        <x:v>51</x:v>
      </x:c>
      <x:c r="B31" s="4" t="n">
        <x:v>46273</x:v>
      </x:c>
      <x:c r="C31" s="10" t="n">
        <x:v>46273.396261574075</x:v>
      </x:c>
      <x:c r="D31" s="2" t="str">
        <x:v>红枣</x:v>
      </x:c>
      <x:c r="E31" s="2" t="str">
        <x:v>CJ2701</x:v>
      </x:c>
      <x:c r="F31" s="2" t="str">
        <x:v>苏冰</x:v>
      </x:c>
      <x:c r="G31" s="2" t="str">
        <x:v>15m</x:v>
      </x:c>
      <x:c r="H31" s="2" t="str">
        <x:v>多头</x:v>
      </x:c>
      <x:c r="I31" s="2" t="n">
        <x:v>1</x:v>
      </x:c>
      <x:c r="J31" s="10" t="n">
        <x:v>46273.395833333336</x:v>
      </x:c>
      <x:c r="K31" s="11" t="n">
        <x:v>7970</x:v>
      </x:c>
      <x:c r="L31" s="10" t="n">
        <x:v>46273.396527777775</x:v>
      </x:c>
      <x:c r="M31" s="11" t="n">
        <x:v>7970</x:v>
      </x:c>
      <x:c r="N31" s="11" t="n">
        <x:v>7945</x:v>
      </x:c>
      <x:c r="O31" s="5" t="n">
        <x:f>IF(N31="","",I31*(N31/M31-1))</x:f>
        <x:v>-0.0031367628607277265</x:v>
      </x:c>
      <x:c r="P31" s="11" t="n">
        <x:v>7945</x:v>
      </x:c>
      <x:c r="Q31" s="5" t="n">
        <x:f>IF(P31="","",I31*(P31/M31-1))</x:f>
        <x:v>-0.0031367628607277265</x:v>
      </x:c>
      <x:c r="R31" s="11" t="n">
        <x:v>7935</x:v>
      </x:c>
      <x:c r="S31" s="5" t="n">
        <x:f>IF(R31="","",I31*(R31/M31-1))</x:f>
        <x:v>-0.004391468005018773</x:v>
      </x:c>
      <x:c r="T31" s="2" t="str">
        <x:f>IF(R31="",AK31,IF(S31&gt;0,"有利",IF(S31&lt;0,"不利","持平")))</x:f>
        <x:v>不利</x:v>
      </x:c>
      <x:c r="U31" s="5" t="n">
        <x:v>0.0006273525721455458</x:v>
      </x:c>
      <x:c r="V31" s="5" t="n">
        <x:v>-0.006273525721455458</x:v>
      </x:c>
      <x:c r="W31" s="2" t="str">
        <x:v>本次未复算；前次：前次复算一致，本次未重算</x:v>
      </x:c>
      <x:c r="X31" s="2" t="str">
        <x:v>逐条结果未留存</x:v>
      </x:c>
      <x:c r="Y31" s="10" t="n">
        <x:v>46273.40694444445</x:v>
      </x:c>
      <x:c r="Z31" s="10" t="n">
        <x:v>46273.41736111111</x:v>
      </x:c>
      <x:c r="AA31" s="10" t="n">
        <x:v>46273.44861111111</x:v>
      </x:c>
      <x:c r="AB31" s="12" t="n">
        <x:v>37.941657</x:v>
      </x:c>
      <x:c r="AC31" s="2" t="str">
        <x:v>subing_ths_alert_15m_v1</x:v>
      </x:c>
      <x:c r="AD31" s="5" t="n">
        <x:v>-0.003136762860727729</x:v>
      </x:c>
      <x:c r="AE31" s="5" t="n">
        <x:v>-0.0037641154328732747</x:v>
      </x:c>
      <x:c r="AF31" s="5" t="n">
        <x:v>-0.005018820577164366</x:v>
      </x:c>
      <x:c r="AG31" s="2" t="str">
        <x:v>此前已有</x:v>
      </x:c>
      <x:c r="AH31" s="4" t="n">
        <x:v>46273</x:v>
      </x:c>
      <x:c r="AI31" s="2" t="str">
        <x:v>可评估</x:v>
      </x:c>
      <x:c r="AJ31" s="2" t="str">
        <x:v>可评估</x:v>
      </x:c>
      <x:c r="AK31" s="2" t="str">
        <x:v>可评估</x:v>
      </x:c>
      <x:c r="AL31" s="5" t="n">
        <x:v>-0.003136762860727729</x:v>
      </x:c>
      <x:c r="AM31" s="5" t="n">
        <x:v>-0.003136762860727729</x:v>
      </x:c>
      <x:c r="AN31" s="5" t="n">
        <x:v>-0.00439146800501882</x:v>
      </x:c>
      <x:c r="AO31" s="2" t="str">
        <x:v>C51</x:v>
      </x:c>
      <x:c r="AP31" s="2" t="n">
        <x:v>1</x:v>
      </x:c>
    </x:row>
    <x:row r="32" ht="26" customHeight="1">
      <x:c r="A32" s="2" t="n">
        <x:v>52</x:v>
      </x:c>
      <x:c r="B32" s="4" t="n">
        <x:v>46273</x:v>
      </x:c>
      <x:c r="C32" s="10" t="n">
        <x:v>46273.39627314815</x:v>
      </x:c>
      <x:c r="D32" s="2" t="str">
        <x:v>花生</x:v>
      </x:c>
      <x:c r="E32" s="2" t="str">
        <x:v>PK2611</x:v>
      </x:c>
      <x:c r="F32" s="2" t="str">
        <x:v>苏冰</x:v>
      </x:c>
      <x:c r="G32" s="2" t="str">
        <x:v>15m</x:v>
      </x:c>
      <x:c r="H32" s="2" t="str">
        <x:v>多头</x:v>
      </x:c>
      <x:c r="I32" s="2" t="n">
        <x:v>1</x:v>
      </x:c>
      <x:c r="J32" s="10" t="n">
        <x:v>46273.395833333336</x:v>
      </x:c>
      <x:c r="K32" s="11" t="n">
        <x:v>8040</x:v>
      </x:c>
      <x:c r="L32" s="10" t="n">
        <x:v>46273.396527777775</x:v>
      </x:c>
      <x:c r="M32" s="11" t="n">
        <x:v>8042</x:v>
      </x:c>
      <x:c r="N32" s="11" t="n">
        <x:v>8038</x:v>
      </x:c>
      <x:c r="O32" s="5" t="n">
        <x:f>IF(N32="","",I32*(N32/M32-1))</x:f>
        <x:v>-0.0004973887092762919</x:v>
      </x:c>
      <x:c r="P32" s="11" t="n">
        <x:v>8040</x:v>
      </x:c>
      <x:c r="Q32" s="5" t="n">
        <x:f>IF(P32="","",I32*(P32/M32-1))</x:f>
        <x:v>-0.00024869435463814593</x:v>
      </x:c>
      <x:c r="R32" s="11" t="n">
        <x:v>8038</x:v>
      </x:c>
      <x:c r="S32" s="5" t="n">
        <x:f>IF(R32="","",I32*(R32/M32-1))</x:f>
        <x:v>-0.0004973887092762919</x:v>
      </x:c>
      <x:c r="T32" s="2" t="str">
        <x:f>IF(R32="",AK32,IF(S32&gt;0,"有利",IF(S32&lt;0,"不利","持平")))</x:f>
        <x:v>不利</x:v>
      </x:c>
      <x:c r="U32" s="5" t="n">
        <x:v>0.0004973887092762995</x:v>
      </x:c>
      <x:c r="V32" s="5" t="n">
        <x:v>-0.0012434717731907485</x:v>
      </x:c>
      <x:c r="W32" s="2" t="str">
        <x:v>本次未复算；前次：前次复算一致，本次未重算</x:v>
      </x:c>
      <x:c r="X32" s="2" t="str">
        <x:v>逐条结果未留存</x:v>
      </x:c>
      <x:c r="Y32" s="10" t="n">
        <x:v>46273.40694444445</x:v>
      </x:c>
      <x:c r="Z32" s="10" t="n">
        <x:v>46273.41736111111</x:v>
      </x:c>
      <x:c r="AA32" s="10" t="n">
        <x:v>46273.44861111111</x:v>
      </x:c>
      <x:c r="AB32" s="12" t="n">
        <x:v>38.38568</x:v>
      </x:c>
      <x:c r="AC32" s="2" t="str">
        <x:v>subing_ths_alert_15m_v1</x:v>
      </x:c>
      <x:c r="AD32" s="5" t="n">
        <x:v>-0.0002487562189054726</x:v>
      </x:c>
      <x:c r="AE32" s="5" t="n">
        <x:v>-0.0002487562189054726</x:v>
      </x:c>
      <x:c r="AF32" s="5" t="n">
        <x:v>-0.0004975124378109452</x:v>
      </x:c>
      <x:c r="AG32" s="2" t="str">
        <x:v>此前已有</x:v>
      </x:c>
      <x:c r="AH32" s="4" t="n">
        <x:v>46273</x:v>
      </x:c>
      <x:c r="AI32" s="2" t="str">
        <x:v>可评估</x:v>
      </x:c>
      <x:c r="AJ32" s="2" t="str">
        <x:v>可评估</x:v>
      </x:c>
      <x:c r="AK32" s="2" t="str">
        <x:v>可评估</x:v>
      </x:c>
      <x:c r="AL32" s="5" t="n">
        <x:v>-0.0004973887092762995</x:v>
      </x:c>
      <x:c r="AM32" s="5" t="n">
        <x:v>-0.0002486943546381497</x:v>
      </x:c>
      <x:c r="AN32" s="5" t="n">
        <x:v>-0.0004973887092762995</x:v>
      </x:c>
      <x:c r="AO32" s="2" t="str">
        <x:v>C52</x:v>
      </x:c>
      <x:c r="AP32" s="2" t="n">
        <x:v>1</x:v>
      </x:c>
    </x:row>
    <x:row r="33" ht="26" customHeight="1">
      <x:c r="A33" s="2" t="n">
        <x:v>53</x:v>
      </x:c>
      <x:c r="B33" s="4" t="n">
        <x:v>46273</x:v>
      </x:c>
      <x:c r="C33" s="10" t="n">
        <x:v>46273.3962962963</x:v>
      </x:c>
      <x:c r="D33" s="2" t="str">
        <x:v>生猪</x:v>
      </x:c>
      <x:c r="E33" s="2" t="str">
        <x:v>LH2611</x:v>
      </x:c>
      <x:c r="F33" s="2" t="str">
        <x:v>苏冰</x:v>
      </x:c>
      <x:c r="G33" s="2" t="str">
        <x:v>15m</x:v>
      </x:c>
      <x:c r="H33" s="2" t="str">
        <x:v>空头</x:v>
      </x:c>
      <x:c r="I33" s="2" t="n">
        <x:v>-1</x:v>
      </x:c>
      <x:c r="J33" s="10" t="n">
        <x:v>46273.395833333336</x:v>
      </x:c>
      <x:c r="K33" s="11" t="n">
        <x:v>11760</x:v>
      </x:c>
      <x:c r="L33" s="10" t="n">
        <x:v>46273.396527777775</x:v>
      </x:c>
      <x:c r="M33" s="11" t="n">
        <x:v>11745</x:v>
      </x:c>
      <x:c r="N33" s="11" t="n">
        <x:v>11725</x:v>
      </x:c>
      <x:c r="O33" s="5" t="n">
        <x:f>IF(N33="","",I33*(N33/M33-1))</x:f>
        <x:v>0.001702852277564948</x:v>
      </x:c>
      <x:c r="P33" s="11" t="n">
        <x:v>11705</x:v>
      </x:c>
      <x:c r="Q33" s="5" t="n">
        <x:f>IF(P33="","",I33*(P33/M33-1))</x:f>
        <x:v>0.003405704555129896</x:v>
      </x:c>
      <x:c r="R33" s="11" t="n">
        <x:v>11725</x:v>
      </x:c>
      <x:c r="S33" s="5" t="n">
        <x:f>IF(R33="","",I33*(R33/M33-1))</x:f>
        <x:v>0.001702852277564948</x:v>
      </x:c>
      <x:c r="T33" s="2" t="str">
        <x:f>IF(R33="",AK33,IF(S33&gt;0,"有利",IF(S33&lt;0,"不利","持平")))</x:f>
        <x:v>有利</x:v>
      </x:c>
      <x:c r="U33" s="5" t="n">
        <x:v>0.004682843763303533</x:v>
      </x:c>
      <x:c r="V33" s="5" t="n">
        <x:v>-0.0008514261387824606</x:v>
      </x:c>
      <x:c r="W33" s="2" t="str">
        <x:v>本次未复算；前次：前次复算一致，本次未重算</x:v>
      </x:c>
      <x:c r="X33" s="2" t="str">
        <x:v>逐条结果未留存</x:v>
      </x:c>
      <x:c r="Y33" s="10" t="n">
        <x:v>46273.40694444445</x:v>
      </x:c>
      <x:c r="Z33" s="10" t="n">
        <x:v>46273.41736111111</x:v>
      </x:c>
      <x:c r="AA33" s="10" t="n">
        <x:v>46273.44861111111</x:v>
      </x:c>
      <x:c r="AB33" s="12" t="n">
        <x:v>40.579445</x:v>
      </x:c>
      <x:c r="AC33" s="2" t="str">
        <x:v>subing_ths_alert_15m_v1</x:v>
      </x:c>
      <x:c r="AD33" s="5" t="n">
        <x:v>0.003826530612244898</x:v>
      </x:c>
      <x:c r="AE33" s="5" t="n">
        <x:v>0.00467687074829932</x:v>
      </x:c>
      <x:c r="AF33" s="5" t="n">
        <x:v>0.002976190476190476</x:v>
      </x:c>
      <x:c r="AG33" s="2" t="str">
        <x:v>此前已有</x:v>
      </x:c>
      <x:c r="AH33" s="4" t="n">
        <x:v>46273</x:v>
      </x:c>
      <x:c r="AI33" s="2" t="str">
        <x:v>可评估</x:v>
      </x:c>
      <x:c r="AJ33" s="2" t="str">
        <x:v>可评估</x:v>
      </x:c>
      <x:c r="AK33" s="2" t="str">
        <x:v>可评估</x:v>
      </x:c>
      <x:c r="AL33" s="5" t="n">
        <x:v>0.0017028522775649213</x:v>
      </x:c>
      <x:c r="AM33" s="5" t="n">
        <x:v>0.0034057045551298426</x:v>
      </x:c>
      <x:c r="AN33" s="5" t="n">
        <x:v>0.0017028522775649213</x:v>
      </x:c>
      <x:c r="AO33" s="2" t="str">
        <x:v>C53</x:v>
      </x:c>
      <x:c r="AP33" s="2" t="n">
        <x:v>1</x:v>
      </x:c>
    </x:row>
    <x:row r="34" ht="26" customHeight="1">
      <x:c r="A34" s="2" t="n">
        <x:v>54</x:v>
      </x:c>
      <x:c r="B34" s="4" t="n">
        <x:v>46273</x:v>
      </x:c>
      <x:c r="C34" s="10" t="n">
        <x:v>46273.40628472222</x:v>
      </x:c>
      <x:c r="D34" s="2" t="str">
        <x:v>纯碱</x:v>
      </x:c>
      <x:c r="E34" s="2" t="str">
        <x:v>SA2701</x:v>
      </x:c>
      <x:c r="F34" s="2" t="str">
        <x:v>苏冰</x:v>
      </x:c>
      <x:c r="G34" s="2" t="str">
        <x:v>15m</x:v>
      </x:c>
      <x:c r="H34" s="2" t="str">
        <x:v>多头</x:v>
      </x:c>
      <x:c r="I34" s="2" t="n">
        <x:v>1</x:v>
      </x:c>
      <x:c r="J34" s="10" t="n">
        <x:v>46273.40625</x:v>
      </x:c>
      <x:c r="K34" s="11" t="n">
        <x:v>1073</x:v>
      </x:c>
      <x:c r="L34" s="10" t="n">
        <x:v>46273.40694444445</x:v>
      </x:c>
      <x:c r="M34" s="11" t="n">
        <x:v>1072</x:v>
      </x:c>
      <x:c r="N34" s="11" t="n">
        <x:v>1075</x:v>
      </x:c>
      <x:c r="O34" s="5" t="n">
        <x:f>IF(N34="","",I34*(N34/M34-1))</x:f>
        <x:v>0.002798507462686617</x:v>
      </x:c>
      <x:c r="P34" s="11" t="n">
        <x:v>1074</x:v>
      </x:c>
      <x:c r="Q34" s="5" t="n">
        <x:f>IF(P34="","",I34*(P34/M34-1))</x:f>
        <x:v>0.001865671641791078</x:v>
      </x:c>
      <x:c r="R34" s="11" t="n">
        <x:v>1080</x:v>
      </x:c>
      <x:c r="S34" s="5" t="n">
        <x:f>IF(R34="","",I34*(R34/M34-1))</x:f>
        <x:v>0.00746268656716409</x:v>
      </x:c>
      <x:c r="T34" s="2" t="str">
        <x:f>IF(R34="",AK34,IF(S34&gt;0,"有利",IF(S34&lt;0,"不利","持平")))</x:f>
        <x:v>有利</x:v>
      </x:c>
      <x:c r="U34" s="5" t="n">
        <x:v>0.009328358208955223</x:v>
      </x:c>
      <x:c r="V34" s="5" t="n">
        <x:v>-0.0009328358208955224</x:v>
      </x:c>
      <x:c r="W34" s="2" t="str">
        <x:v>本次未复算；前次：前次复算一致，本次未重算</x:v>
      </x:c>
      <x:c r="X34" s="2" t="str">
        <x:v>逐条结果未留存</x:v>
      </x:c>
      <x:c r="Y34" s="10" t="n">
        <x:v>46273.41736111111</x:v>
      </x:c>
      <x:c r="Z34" s="10" t="n">
        <x:v>46273.43819444445</x:v>
      </x:c>
      <x:c r="AA34" s="10" t="n">
        <x:v>46273.459027777775</x:v>
      </x:c>
      <x:c r="AB34" s="12" t="n">
        <x:v>3.83059</x:v>
      </x:c>
      <x:c r="AC34" s="2" t="str">
        <x:v>subing_ths_alert_15m_v1</x:v>
      </x:c>
      <x:c r="AD34" s="5" t="n">
        <x:v>0.003727865796831314</x:v>
      </x:c>
      <x:c r="AE34" s="5" t="n">
        <x:v>0.0009319664492078285</x:v>
      </x:c>
      <x:c r="AF34" s="5" t="n">
        <x:v>0.005591798695246971</x:v>
      </x:c>
      <x:c r="AG34" s="2" t="str">
        <x:v>此前已有</x:v>
      </x:c>
      <x:c r="AH34" s="4" t="n">
        <x:v>46273</x:v>
      </x:c>
      <x:c r="AI34" s="2" t="str">
        <x:v>可评估</x:v>
      </x:c>
      <x:c r="AJ34" s="2" t="str">
        <x:v>可评估</x:v>
      </x:c>
      <x:c r="AK34" s="2" t="str">
        <x:v>可评估</x:v>
      </x:c>
      <x:c r="AL34" s="5" t="n">
        <x:v>0.002798507462686567</x:v>
      </x:c>
      <x:c r="AM34" s="5" t="n">
        <x:v>0.0018656716417910447</x:v>
      </x:c>
      <x:c r="AN34" s="5" t="n">
        <x:v>0.007462686567164179</x:v>
      </x:c>
      <x:c r="AO34" s="2" t="str">
        <x:v>C54</x:v>
      </x:c>
      <x:c r="AP34" s="2" t="n">
        <x:v>1</x:v>
      </x:c>
    </x:row>
    <x:row r="35" ht="26" customHeight="1">
      <x:c r="A35" s="2" t="n">
        <x:v>55</x:v>
      </x:c>
      <x:c r="B35" s="4" t="n">
        <x:v>46273</x:v>
      </x:c>
      <x:c r="C35" s="10" t="n">
        <x:v>46273.406319444446</x:v>
      </x:c>
      <x:c r="D35" s="2" t="str">
        <x:v>短纤</x:v>
      </x:c>
      <x:c r="E35" s="2" t="str">
        <x:v>PF2611</x:v>
      </x:c>
      <x:c r="F35" s="2" t="str">
        <x:v>苏冰</x:v>
      </x:c>
      <x:c r="G35" s="2" t="str">
        <x:v>15m</x:v>
      </x:c>
      <x:c r="H35" s="2" t="str">
        <x:v>多头</x:v>
      </x:c>
      <x:c r="I35" s="2" t="n">
        <x:v>1</x:v>
      </x:c>
      <x:c r="J35" s="10" t="n">
        <x:v>46273.40625</x:v>
      </x:c>
      <x:c r="K35" s="11" t="n">
        <x:v>7904</x:v>
      </x:c>
      <x:c r="L35" s="10" t="n">
        <x:v>46273.40694444445</x:v>
      </x:c>
      <x:c r="M35" s="11" t="n">
        <x:v>7920</x:v>
      </x:c>
      <x:c r="N35" s="11" t="n">
        <x:v>7916</x:v>
      </x:c>
      <x:c r="O35" s="5" t="n">
        <x:f>IF(N35="","",I35*(N35/M35-1))</x:f>
        <x:v>-0.0005050505050504528</x:v>
      </x:c>
      <x:c r="P35" s="11" t="n">
        <x:v>7940</x:v>
      </x:c>
      <x:c r="Q35" s="5" t="n">
        <x:f>IF(P35="","",I35*(P35/M35-1))</x:f>
        <x:v>0.002525252525252597</x:v>
      </x:c>
      <x:c r="R35" s="11" t="n">
        <x:v>7976</x:v>
      </x:c>
      <x:c r="S35" s="5" t="n">
        <x:f>IF(R35="","",I35*(R35/M35-1))</x:f>
        <x:v>0.007070707070707005</x:v>
      </x:c>
      <x:c r="T35" s="2" t="str">
        <x:f>IF(R35="",AK35,IF(S35&gt;0,"有利",IF(S35&lt;0,"不利","持平")))</x:f>
        <x:v>有利</x:v>
      </x:c>
      <x:c r="U35" s="5" t="n">
        <x:v>0.0073232323232323236</x:v>
      </x:c>
      <x:c r="V35" s="5" t="n">
        <x:v>-0.004545454545454545</x:v>
      </x:c>
      <x:c r="W35" s="2" t="str">
        <x:v>本次未复算；前次：前次复算一致，本次未重算</x:v>
      </x:c>
      <x:c r="X35" s="2" t="str">
        <x:v>逐条结果未留存</x:v>
      </x:c>
      <x:c r="Y35" s="10" t="n">
        <x:v>46273.41736111111</x:v>
      </x:c>
      <x:c r="Z35" s="10" t="n">
        <x:v>46273.43819444445</x:v>
      </x:c>
      <x:c r="AA35" s="10" t="n">
        <x:v>46273.459027777775</x:v>
      </x:c>
      <x:c r="AB35" s="12" t="n">
        <x:v>6.003573</x:v>
      </x:c>
      <x:c r="AC35" s="2" t="str">
        <x:v>subing_ths_alert_15m_v1</x:v>
      </x:c>
      <x:c r="AD35" s="5" t="n">
        <x:v>0.0015182186234817814</x:v>
      </x:c>
      <x:c r="AE35" s="5" t="n">
        <x:v>0.001771255060728745</x:v>
      </x:c>
      <x:c r="AF35" s="5" t="n">
        <x:v>0.008350202429149798</x:v>
      </x:c>
      <x:c r="AG35" s="2" t="str">
        <x:v>此前已有</x:v>
      </x:c>
      <x:c r="AH35" s="4" t="n">
        <x:v>46273</x:v>
      </x:c>
      <x:c r="AI35" s="2" t="str">
        <x:v>可评估</x:v>
      </x:c>
      <x:c r="AJ35" s="2" t="str">
        <x:v>可评估</x:v>
      </x:c>
      <x:c r="AK35" s="2" t="str">
        <x:v>可评估</x:v>
      </x:c>
      <x:c r="AL35" s="5" t="n">
        <x:v>-0.000505050505050505</x:v>
      </x:c>
      <x:c r="AM35" s="5" t="n">
        <x:v>0.0025252525252525255</x:v>
      </x:c>
      <x:c r="AN35" s="5" t="n">
        <x:v>0.007070707070707071</x:v>
      </x:c>
      <x:c r="AO35" s="2" t="str">
        <x:v>C55</x:v>
      </x:c>
      <x:c r="AP35" s="2" t="n">
        <x:v>1</x:v>
      </x:c>
    </x:row>
    <x:row r="36" ht="26" customHeight="1">
      <x:c r="A36" s="2" t="n">
        <x:v>56</x:v>
      </x:c>
      <x:c r="B36" s="4" t="n">
        <x:v>46273</x:v>
      </x:c>
      <x:c r="C36" s="10" t="n">
        <x:v>46273.406319444446</x:v>
      </x:c>
      <x:c r="D36" s="2" t="str">
        <x:v>对二甲苯</x:v>
      </x:c>
      <x:c r="E36" s="2" t="str">
        <x:v>PX2611</x:v>
      </x:c>
      <x:c r="F36" s="2" t="str">
        <x:v>苏冰</x:v>
      </x:c>
      <x:c r="G36" s="2" t="str">
        <x:v>15m</x:v>
      </x:c>
      <x:c r="H36" s="2" t="str">
        <x:v>多头</x:v>
      </x:c>
      <x:c r="I36" s="2" t="n">
        <x:v>1</x:v>
      </x:c>
      <x:c r="J36" s="10" t="n">
        <x:v>46273.40625</x:v>
      </x:c>
      <x:c r="K36" s="11" t="n">
        <x:v>8724</x:v>
      </x:c>
      <x:c r="L36" s="10" t="n">
        <x:v>46273.40694444445</x:v>
      </x:c>
      <x:c r="M36" s="11" t="n">
        <x:v>8744</x:v>
      </x:c>
      <x:c r="N36" s="11" t="n">
        <x:v>8748</x:v>
      </x:c>
      <x:c r="O36" s="5" t="n">
        <x:f>IF(N36="","",I36*(N36/M36-1))</x:f>
        <x:v>0.00045745654162865357</x:v>
      </x:c>
      <x:c r="P36" s="11" t="n">
        <x:v>8778</x:v>
      </x:c>
      <x:c r="Q36" s="5" t="n">
        <x:f>IF(P36="","",I36*(P36/M36-1))</x:f>
        <x:v>0.003888380603842556</x:v>
      </x:c>
      <x:c r="R36" s="11" t="n">
        <x:v>8852</x:v>
      </x:c>
      <x:c r="S36" s="5" t="n">
        <x:f>IF(R36="","",I36*(R36/M36-1))</x:f>
        <x:v>0.01235132662397076</x:v>
      </x:c>
      <x:c r="T36" s="2" t="str">
        <x:f>IF(R36="",AK36,IF(S36&gt;0,"有利",IF(S36&lt;0,"不利","持平")))</x:f>
        <x:v>有利</x:v>
      </x:c>
      <x:c r="U36" s="5" t="n">
        <x:v>0.012580054894784995</x:v>
      </x:c>
      <x:c r="V36" s="5" t="n">
        <x:v>-0.004117108874656907</x:v>
      </x:c>
      <x:c r="W36" s="2" t="str">
        <x:v>本次未复算；前次：前次复算一致，本次未重算</x:v>
      </x:c>
      <x:c r="X36" s="2" t="str">
        <x:v>逐条结果未留存</x:v>
      </x:c>
      <x:c r="Y36" s="10" t="n">
        <x:v>46273.41736111111</x:v>
      </x:c>
      <x:c r="Z36" s="10" t="n">
        <x:v>46273.43819444445</x:v>
      </x:c>
      <x:c r="AA36" s="10" t="n">
        <x:v>46273.459027777775</x:v>
      </x:c>
      <x:c r="AB36" s="12" t="n">
        <x:v>6.514691</x:v>
      </x:c>
      <x:c r="AC36" s="2" t="str">
        <x:v>subing_ths_alert_15m_v1</x:v>
      </x:c>
      <x:c r="AD36" s="5" t="n">
        <x:v>0.002751031636863824</x:v>
      </x:c>
      <x:c r="AE36" s="5" t="n">
        <x:v>0.002751031636863824</x:v>
      </x:c>
      <x:c r="AF36" s="5" t="n">
        <x:v>0.012838147638697846</x:v>
      </x:c>
      <x:c r="AG36" s="2" t="str">
        <x:v>此前已有</x:v>
      </x:c>
      <x:c r="AH36" s="4" t="n">
        <x:v>46273</x:v>
      </x:c>
      <x:c r="AI36" s="2" t="str">
        <x:v>可评估</x:v>
      </x:c>
      <x:c r="AJ36" s="2" t="str">
        <x:v>可评估</x:v>
      </x:c>
      <x:c r="AK36" s="2" t="str">
        <x:v>可评估</x:v>
      </x:c>
      <x:c r="AL36" s="5" t="n">
        <x:v>0.0004574565416285453</x:v>
      </x:c>
      <x:c r="AM36" s="5" t="n">
        <x:v>0.003888380603842635</x:v>
      </x:c>
      <x:c r="AN36" s="5" t="n">
        <x:v>0.012351326623970723</x:v>
      </x:c>
      <x:c r="AO36" s="2" t="str">
        <x:v>C56</x:v>
      </x:c>
      <x:c r="AP36" s="2" t="n">
        <x:v>1</x:v>
      </x:c>
    </x:row>
    <x:row r="37" ht="26" customHeight="1">
      <x:c r="A37" s="2" t="n">
        <x:v>57</x:v>
      </x:c>
      <x:c r="B37" s="4" t="n">
        <x:v>46273</x:v>
      </x:c>
      <x:c r="C37" s="10" t="n">
        <x:v>46273.40634259259</x:v>
      </x:c>
      <x:c r="D37" s="2" t="str">
        <x:v>丙烯</x:v>
      </x:c>
      <x:c r="E37" s="2" t="str">
        <x:v>PR2611</x:v>
      </x:c>
      <x:c r="F37" s="2" t="str">
        <x:v>苏冰</x:v>
      </x:c>
      <x:c r="G37" s="2" t="str">
        <x:v>15m</x:v>
      </x:c>
      <x:c r="H37" s="2" t="str">
        <x:v>多头</x:v>
      </x:c>
      <x:c r="I37" s="2" t="n">
        <x:v>1</x:v>
      </x:c>
      <x:c r="J37" s="10" t="n">
        <x:v>46273.40625</x:v>
      </x:c>
      <x:c r="K37" s="11" t="n">
        <x:v>7760</x:v>
      </x:c>
      <x:c r="L37" s="10" t="n">
        <x:v>46273.40694444445</x:v>
      </x:c>
      <x:c r="M37" s="11" t="n">
        <x:v>7774</x:v>
      </x:c>
      <x:c r="N37" s="11" t="n">
        <x:v>7768</x:v>
      </x:c>
      <x:c r="O37" s="5" t="n">
        <x:f>IF(N37="","",I37*(N37/M37-1))</x:f>
        <x:v>-0.000771803447388697</x:v>
      </x:c>
      <x:c r="P37" s="11" t="n">
        <x:v>7796</x:v>
      </x:c>
      <x:c r="Q37" s="5" t="n">
        <x:f>IF(P37="","",I37*(P37/M37-1))</x:f>
        <x:v>0.0028299459737586297</x:v>
      </x:c>
      <x:c r="R37" s="11" t="n">
        <x:v>7834</x:v>
      </x:c>
      <x:c r="S37" s="5" t="n">
        <x:f>IF(R37="","",I37*(R37/M37-1))</x:f>
        <x:v>0.007718034473887414</x:v>
      </x:c>
      <x:c r="T37" s="2" t="str">
        <x:f>IF(R37="",AK37,IF(S37&gt;0,"有利",IF(S37&lt;0,"不利","持平")))</x:f>
        <x:v>有利</x:v>
      </x:c>
      <x:c r="U37" s="5" t="n">
        <x:v>0.008747105737072292</x:v>
      </x:c>
      <x:c r="V37" s="5" t="n">
        <x:v>-0.005145356315924878</x:v>
      </x:c>
      <x:c r="W37" s="2" t="str">
        <x:v>本次未复算；前次：前次复算一致，本次未重算</x:v>
      </x:c>
      <x:c r="X37" s="2" t="str">
        <x:v>逐条结果未留存</x:v>
      </x:c>
      <x:c r="Y37" s="10" t="n">
        <x:v>46273.41736111111</x:v>
      </x:c>
      <x:c r="Z37" s="10" t="n">
        <x:v>46273.43819444445</x:v>
      </x:c>
      <x:c r="AA37" s="10" t="n">
        <x:v>46273.459027777775</x:v>
      </x:c>
      <x:c r="AB37" s="12" t="n">
        <x:v>8.603464</x:v>
      </x:c>
      <x:c r="AC37" s="2" t="str">
        <x:v>subing_ths_alert_15m_v1</x:v>
      </x:c>
      <x:c r="AD37" s="5" t="n">
        <x:v>0.0002577319587628866</x:v>
      </x:c>
      <x:c r="AE37" s="5" t="n">
        <x:v>0.002061855670103093</x:v>
      </x:c>
      <x:c r="AF37" s="5" t="n">
        <x:v>0.008762886597938144</x:v>
      </x:c>
      <x:c r="AG37" s="2" t="str">
        <x:v>此前已有</x:v>
      </x:c>
      <x:c r="AH37" s="4" t="n">
        <x:v>46273</x:v>
      </x:c>
      <x:c r="AI37" s="2" t="str">
        <x:v>可评估</x:v>
      </x:c>
      <x:c r="AJ37" s="2" t="str">
        <x:v>可评估</x:v>
      </x:c>
      <x:c r="AK37" s="2" t="str">
        <x:v>可评估</x:v>
      </x:c>
      <x:c r="AL37" s="5" t="n">
        <x:v>-0.0007718034473887317</x:v>
      </x:c>
      <x:c r="AM37" s="5" t="n">
        <x:v>0.002829945973758683</x:v>
      </x:c>
      <x:c r="AN37" s="5" t="n">
        <x:v>0.007718034473887317</x:v>
      </x:c>
      <x:c r="AO37" s="2" t="str">
        <x:v>C57</x:v>
      </x:c>
      <x:c r="AP37" s="2" t="n">
        <x:v>1</x:v>
      </x:c>
    </x:row>
    <x:row r="38" ht="26" customHeight="1">
      <x:c r="A38" s="2" t="n">
        <x:v>58</x:v>
      </x:c>
      <x:c r="B38" s="4" t="n">
        <x:v>46273</x:v>
      </x:c>
      <x:c r="C38" s="10" t="n">
        <x:v>46273.40636574074</x:v>
      </x:c>
      <x:c r="D38" s="2" t="str">
        <x:v>原油</x:v>
      </x:c>
      <x:c r="E38" s="2" t="str">
        <x:v>SC2610</x:v>
      </x:c>
      <x:c r="F38" s="2" t="str">
        <x:v>苏冰</x:v>
      </x:c>
      <x:c r="G38" s="2" t="str">
        <x:v>15m</x:v>
      </x:c>
      <x:c r="H38" s="2" t="str">
        <x:v>多头</x:v>
      </x:c>
      <x:c r="I38" s="2" t="n">
        <x:v>1</x:v>
      </x:c>
      <x:c r="J38" s="10" t="n">
        <x:v>46273.40625</x:v>
      </x:c>
      <x:c r="K38" s="11" t="n">
        <x:v>699.8</x:v>
      </x:c>
      <x:c r="L38" s="10" t="n">
        <x:v>46273.40694444445</x:v>
      </x:c>
      <x:c r="M38" s="11" t="n">
        <x:v>700.1</x:v>
      </x:c>
      <x:c r="N38" s="11" t="n">
        <x:v>699.4</x:v>
      </x:c>
      <x:c r="O38" s="5" t="n">
        <x:f>IF(N38="","",I38*(N38/M38-1))</x:f>
        <x:v>-0.000999857163262452</x:v>
      </x:c>
      <x:c r="P38" s="11" t="n">
        <x:v>700.9</x:v>
      </x:c>
      <x:c r="Q38" s="5" t="n">
        <x:f>IF(P38="","",I38*(P38/M38-1))</x:f>
        <x:v>0.0011426939008711834</x:v>
      </x:c>
      <x:c r="R38" s="11" t="n">
        <x:v>701.1</x:v>
      </x:c>
      <x:c r="S38" s="5" t="n">
        <x:f>IF(R38="","",I38*(R38/M38-1))</x:f>
        <x:v>0.0014283673760890903</x:v>
      </x:c>
      <x:c r="T38" s="2" t="str">
        <x:f>IF(R38="",AK38,IF(S38&gt;0,"有利",IF(S38&lt;0,"不利","持平")))</x:f>
        <x:v>有利</x:v>
      </x:c>
      <x:c r="U38" s="5" t="n">
        <x:v>0.001999714326524782</x:v>
      </x:c>
      <x:c r="V38" s="5" t="n">
        <x:v>-0.004713612341094129</x:v>
      </x:c>
      <x:c r="W38" s="2" t="str">
        <x:v>本次未复算；前次：前次复算一致，本次未重算</x:v>
      </x:c>
      <x:c r="X38" s="2" t="str">
        <x:v>逐条结果未留存</x:v>
      </x:c>
      <x:c r="Y38" s="10" t="n">
        <x:v>46273.41736111111</x:v>
      </x:c>
      <x:c r="Z38" s="10" t="n">
        <x:v>46273.43819444445</x:v>
      </x:c>
      <x:c r="AA38" s="10" t="n">
        <x:v>46273.459027777775</x:v>
      </x:c>
      <x:c r="AB38" s="12" t="n">
        <x:v>10.769635</x:v>
      </x:c>
      <x:c r="AC38" s="2" t="str">
        <x:v>subing_ths_alert_15m_v1</x:v>
      </x:c>
      <x:c r="AD38" s="5" t="n">
        <x:v>-0.00014289797084881395</x:v>
      </x:c>
      <x:c r="AE38" s="5" t="n">
        <x:v>0</x:v>
      </x:c>
      <x:c r="AF38" s="5" t="n">
        <x:v>0.0015718776793369534</x:v>
      </x:c>
      <x:c r="AG38" s="2" t="str">
        <x:v>此前已有</x:v>
      </x:c>
      <x:c r="AH38" s="4" t="n">
        <x:v>46273</x:v>
      </x:c>
      <x:c r="AI38" s="2" t="str">
        <x:v>可评估</x:v>
      </x:c>
      <x:c r="AJ38" s="2" t="str">
        <x:v>可评估</x:v>
      </x:c>
      <x:c r="AK38" s="2" t="str">
        <x:v>可评估</x:v>
      </x:c>
      <x:c r="AL38" s="5" t="n">
        <x:v>-0.000999857163262391</x:v>
      </x:c>
      <x:c r="AM38" s="5" t="n">
        <x:v>0.0011426939008713042</x:v>
      </x:c>
      <x:c r="AN38" s="5" t="n">
        <x:v>0.0014283673760891302</x:v>
      </x:c>
      <x:c r="AO38" s="2" t="str">
        <x:v>C37</x:v>
      </x:c>
      <x:c r="AP38" s="2" t="n">
        <x:v>0</x:v>
      </x:c>
    </x:row>
    <x:row r="39" ht="26" customHeight="1">
      <x:c r="A39" s="2" t="n">
        <x:v>59</x:v>
      </x:c>
      <x:c r="B39" s="4" t="n">
        <x:v>46273</x:v>
      </x:c>
      <x:c r="C39" s="10" t="n">
        <x:v>46273.406377314815</x:v>
      </x:c>
      <x:c r="D39" s="2" t="str">
        <x:v>铝</x:v>
      </x:c>
      <x:c r="E39" s="2" t="str">
        <x:v>AL2610</x:v>
      </x:c>
      <x:c r="F39" s="2" t="str">
        <x:v>苏冰</x:v>
      </x:c>
      <x:c r="G39" s="2" t="str">
        <x:v>15m</x:v>
      </x:c>
      <x:c r="H39" s="2" t="str">
        <x:v>多头</x:v>
      </x:c>
      <x:c r="I39" s="2" t="n">
        <x:v>1</x:v>
      </x:c>
      <x:c r="J39" s="10" t="n">
        <x:v>46273.40625</x:v>
      </x:c>
      <x:c r="K39" s="11" t="n">
        <x:v>24525</x:v>
      </x:c>
      <x:c r="L39" s="10" t="n">
        <x:v>46273.40694444445</x:v>
      </x:c>
      <x:c r="M39" s="11" t="n">
        <x:v>24525</x:v>
      </x:c>
      <x:c r="N39" s="11" t="n">
        <x:v>24500</x:v>
      </x:c>
      <x:c r="O39" s="5" t="n">
        <x:f>IF(N39="","",I39*(N39/M39-1))</x:f>
        <x:v>-0.0010193679918450993</x:v>
      </x:c>
      <x:c r="P39" s="11" t="n">
        <x:v>24465</x:v>
      </x:c>
      <x:c r="Q39" s="5" t="n">
        <x:f>IF(P39="","",I39*(P39/M39-1))</x:f>
        <x:v>-0.0024464831804281717</x:v>
      </x:c>
      <x:c r="R39" s="11" t="n">
        <x:v>24445</x:v>
      </x:c>
      <x:c r="S39" s="5" t="n">
        <x:f>IF(R39="","",I39*(R39/M39-1))</x:f>
        <x:v>-0.003261977573904229</x:v>
      </x:c>
      <x:c r="T39" s="2" t="str">
        <x:f>IF(R39="",AK39,IF(S39&gt;0,"有利",IF(S39&lt;0,"不利","持平")))</x:f>
        <x:v>不利</x:v>
      </x:c>
      <x:c r="U39" s="5" t="n">
        <x:v>0.0010193679918450561</x:v>
      </x:c>
      <x:c r="V39" s="5" t="n">
        <x:v>-0.004077471967380225</x:v>
      </x:c>
      <x:c r="W39" s="2" t="str">
        <x:v>本次未复算；前次：前次复算一致，本次未重算</x:v>
      </x:c>
      <x:c r="X39" s="2" t="str">
        <x:v>transport_failed</x:v>
      </x:c>
      <x:c r="Y39" s="10" t="n">
        <x:v>46273.41736111111</x:v>
      </x:c>
      <x:c r="Z39" s="10" t="n">
        <x:v>46273.43819444445</x:v>
      </x:c>
      <x:c r="AA39" s="10" t="n">
        <x:v>46273.459027777775</x:v>
      </x:c>
      <x:c r="AB39" s="12" t="n">
        <x:v>11.327787</x:v>
      </x:c>
      <x:c r="AC39" s="2" t="str">
        <x:v>subing_ths_alert_15m_v1</x:v>
      </x:c>
      <x:c r="AD39" s="5" t="n">
        <x:v>-0.0010193679918450561</x:v>
      </x:c>
      <x:c r="AE39" s="5" t="n">
        <x:v>-0.002854230377166157</x:v>
      </x:c>
      <x:c r="AF39" s="5" t="n">
        <x:v>-0.0030581039755351682</x:v>
      </x:c>
      <x:c r="AG39" s="2" t="str">
        <x:v>此前已有</x:v>
      </x:c>
      <x:c r="AH39" s="4" t="n">
        <x:v>46273</x:v>
      </x:c>
      <x:c r="AI39" s="2" t="str">
        <x:v>可评估</x:v>
      </x:c>
      <x:c r="AJ39" s="2" t="str">
        <x:v>可评估</x:v>
      </x:c>
      <x:c r="AK39" s="2" t="str">
        <x:v>可评估</x:v>
      </x:c>
      <x:c r="AL39" s="5" t="n">
        <x:v>-0.0010193679918450561</x:v>
      </x:c>
      <x:c r="AM39" s="5" t="n">
        <x:v>-0.0024464831804281344</x:v>
      </x:c>
      <x:c r="AN39" s="5" t="n">
        <x:v>-0.0032619775739041795</x:v>
      </x:c>
      <x:c r="AO39" s="2" t="str">
        <x:v>C59</x:v>
      </x:c>
      <x:c r="AP39" s="2" t="n">
        <x:v>1</x:v>
      </x:c>
    </x:row>
    <x:row r="40" ht="26" customHeight="1">
      <x:c r="A40" s="2" t="n">
        <x:v>60</x:v>
      </x:c>
      <x:c r="B40" s="4" t="n">
        <x:v>46273</x:v>
      </x:c>
      <x:c r="C40" s="10" t="n">
        <x:v>46273.40645833333</x:v>
      </x:c>
      <x:c r="D40" s="2" t="str">
        <x:v>乙二醇</x:v>
      </x:c>
      <x:c r="E40" s="2" t="str">
        <x:v>EG2610</x:v>
      </x:c>
      <x:c r="F40" s="2" t="str">
        <x:v>苏冰</x:v>
      </x:c>
      <x:c r="G40" s="2" t="str">
        <x:v>15m</x:v>
      </x:c>
      <x:c r="H40" s="2" t="str">
        <x:v>多头</x:v>
      </x:c>
      <x:c r="I40" s="2" t="n">
        <x:v>1</x:v>
      </x:c>
      <x:c r="J40" s="10" t="n">
        <x:v>46273.40625</x:v>
      </x:c>
      <x:c r="K40" s="11" t="n">
        <x:v>5763</x:v>
      </x:c>
      <x:c r="L40" s="10" t="n">
        <x:v>46273.40694444445</x:v>
      </x:c>
      <x:c r="M40" s="11" t="n">
        <x:v>5780</x:v>
      </x:c>
      <x:c r="N40" s="11" t="n">
        <x:v>5815</x:v>
      </x:c>
      <x:c r="O40" s="5" t="n">
        <x:f>IF(N40="","",I40*(N40/M40-1))</x:f>
        <x:v>0.006055363321799234</x:v>
      </x:c>
      <x:c r="P40" s="11" t="n">
        <x:v>5810</x:v>
      </x:c>
      <x:c r="Q40" s="5" t="n">
        <x:f>IF(P40="","",I40*(P40/M40-1))</x:f>
        <x:v>0.00519031141868509</x:v>
      </x:c>
      <x:c r="R40" s="11" t="n">
        <x:v>5828</x:v>
      </x:c>
      <x:c r="S40" s="5" t="n">
        <x:f>IF(R40="","",I40*(R40/M40-1))</x:f>
        <x:v>0.008304498269896099</x:v>
      </x:c>
      <x:c r="T40" s="2" t="str">
        <x:f>IF(R40="",AK40,IF(S40&gt;0,"有利",IF(S40&lt;0,"不利","持平")))</x:f>
        <x:v>有利</x:v>
      </x:c>
      <x:c r="U40" s="5" t="n">
        <x:v>0.010380622837370242</x:v>
      </x:c>
      <x:c r="V40" s="5" t="n">
        <x:v>-0.005709342560553633</x:v>
      </x:c>
      <x:c r="W40" s="2" t="str">
        <x:v>本次未复算；前次：前次复算一致，本次未重算</x:v>
      </x:c>
      <x:c r="X40" s="2" t="str">
        <x:v>逐条结果未留存</x:v>
      </x:c>
      <x:c r="Y40" s="10" t="n">
        <x:v>46273.41736111111</x:v>
      </x:c>
      <x:c r="Z40" s="10" t="n">
        <x:v>46273.43819444445</x:v>
      </x:c>
      <x:c r="AA40" s="10" t="n">
        <x:v>46273.459027777775</x:v>
      </x:c>
      <x:c r="AB40" s="12" t="n">
        <x:v>18.828792</x:v>
      </x:c>
      <x:c r="AC40" s="2" t="str">
        <x:v>subing_ths_alert_15m_v1</x:v>
      </x:c>
      <x:c r="AD40" s="5" t="n">
        <x:v>0.007114350164844699</x:v>
      </x:c>
      <x:c r="AE40" s="5" t="n">
        <x:v>0.006246746486205101</x:v>
      </x:c>
      <x:c r="AF40" s="5" t="n">
        <x:v>0.012319972236682283</x:v>
      </x:c>
      <x:c r="AG40" s="2" t="str">
        <x:v>此前已有</x:v>
      </x:c>
      <x:c r="AH40" s="4" t="n">
        <x:v>46273</x:v>
      </x:c>
      <x:c r="AI40" s="2" t="str">
        <x:v>可评估</x:v>
      </x:c>
      <x:c r="AJ40" s="2" t="str">
        <x:v>可评估</x:v>
      </x:c>
      <x:c r="AK40" s="2" t="str">
        <x:v>可评估</x:v>
      </x:c>
      <x:c r="AL40" s="5" t="n">
        <x:v>0.006055363321799308</x:v>
      </x:c>
      <x:c r="AM40" s="5" t="n">
        <x:v>0.005190311418685121</x:v>
      </x:c>
      <x:c r="AN40" s="5" t="n">
        <x:v>0.008304498269896194</x:v>
      </x:c>
      <x:c r="AO40" s="2" t="str">
        <x:v>C60</x:v>
      </x:c>
      <x:c r="AP40" s="2" t="n">
        <x:v>1</x:v>
      </x:c>
    </x:row>
    <x:row r="41" ht="26" customHeight="1">
      <x:c r="A41" s="2" t="n">
        <x:v>61</x:v>
      </x:c>
      <x:c r="B41" s="4" t="n">
        <x:v>46273</x:v>
      </x:c>
      <x:c r="C41" s="10" t="n">
        <x:v>46273.406481481485</x:v>
      </x:c>
      <x:c r="D41" s="2" t="str">
        <x:v>豆粕</x:v>
      </x:c>
      <x:c r="E41" s="2" t="str">
        <x:v>M2701</x:v>
      </x:c>
      <x:c r="F41" s="2" t="str">
        <x:v>苏冰</x:v>
      </x:c>
      <x:c r="G41" s="2" t="str">
        <x:v>15m</x:v>
      </x:c>
      <x:c r="H41" s="2" t="str">
        <x:v>空头</x:v>
      </x:c>
      <x:c r="I41" s="2" t="n">
        <x:v>-1</x:v>
      </x:c>
      <x:c r="J41" s="10" t="n">
        <x:v>46273.40625</x:v>
      </x:c>
      <x:c r="K41" s="11" t="n">
        <x:v>3405</x:v>
      </x:c>
      <x:c r="L41" s="10" t="n">
        <x:v>46273.40694444445</x:v>
      </x:c>
      <x:c r="M41" s="11" t="n">
        <x:v>3405</x:v>
      </x:c>
      <x:c r="N41" s="11" t="n">
        <x:v>3405</x:v>
      </x:c>
      <x:c r="O41" s="5" t="n">
        <x:f>IF(N41="","",I41*(N41/M41-1))</x:f>
        <x:v>0</x:v>
      </x:c>
      <x:c r="P41" s="11" t="n">
        <x:v>3401</x:v>
      </x:c>
      <x:c r="Q41" s="5" t="n">
        <x:f>IF(P41="","",I41*(P41/M41-1))</x:f>
        <x:v>0.0011747430249633428</x:v>
      </x:c>
      <x:c r="R41" s="11" t="n">
        <x:v>3410</x:v>
      </x:c>
      <x:c r="S41" s="5" t="n">
        <x:f>IF(R41="","",I41*(R41/M41-1))</x:f>
        <x:v>-0.001468428781204123</x:v>
      </x:c>
      <x:c r="T41" s="2" t="str">
        <x:f>IF(R41="",AK41,IF(S41&gt;0,"有利",IF(S41&lt;0,"不利","持平")))</x:f>
        <x:v>不利</x:v>
      </x:c>
      <x:c r="U41" s="5" t="n">
        <x:v>0.002936857562408223</x:v>
      </x:c>
      <x:c r="V41" s="5" t="n">
        <x:v>-0.0026431718061674008</x:v>
      </x:c>
      <x:c r="W41" s="2" t="str">
        <x:v>本次未复算；前次：前次复算一致，本次未重算</x:v>
      </x:c>
      <x:c r="X41" s="2" t="str">
        <x:v>逐条结果未留存</x:v>
      </x:c>
      <x:c r="Y41" s="10" t="n">
        <x:v>46273.41736111111</x:v>
      </x:c>
      <x:c r="Z41" s="10" t="n">
        <x:v>46273.43819444445</x:v>
      </x:c>
      <x:c r="AA41" s="10" t="n">
        <x:v>46273.459027777775</x:v>
      </x:c>
      <x:c r="AB41" s="12" t="n">
        <x:v>20.854241</x:v>
      </x:c>
      <x:c r="AC41" s="2" t="str">
        <x:v>subing_ths_alert_15m_v1</x:v>
      </x:c>
      <x:c r="AD41" s="5" t="n">
        <x:v>0</x:v>
      </x:c>
      <x:c r="AE41" s="5" t="n">
        <x:v>0.0014684287812041115</x:v>
      </x:c>
      <x:c r="AF41" s="5" t="n">
        <x:v>-0.000881057268722467</x:v>
      </x:c>
      <x:c r="AG41" s="2" t="str">
        <x:v>此前已有</x:v>
      </x:c>
      <x:c r="AH41" s="4" t="n">
        <x:v>46273</x:v>
      </x:c>
      <x:c r="AI41" s="2" t="str">
        <x:v>可评估</x:v>
      </x:c>
      <x:c r="AJ41" s="2" t="str">
        <x:v>可评估</x:v>
      </x:c>
      <x:c r="AK41" s="2" t="str">
        <x:v>可评估</x:v>
      </x:c>
      <x:c r="AL41" s="5" t="n">
        <x:v>0</x:v>
      </x:c>
      <x:c r="AM41" s="5" t="n">
        <x:v>0.0011747430249632893</x:v>
      </x:c>
      <x:c r="AN41" s="5" t="n">
        <x:v>-0.0014684287812041115</x:v>
      </x:c>
      <x:c r="AO41" s="2" t="str">
        <x:v>C61</x:v>
      </x:c>
      <x:c r="AP41" s="2" t="n">
        <x:v>1</x:v>
      </x:c>
    </x:row>
    <x:row r="42" ht="26" customHeight="1">
      <x:c r="A42" s="2" t="n">
        <x:v>62</x:v>
      </x:c>
      <x:c r="B42" s="4" t="n">
        <x:v>46273</x:v>
      </x:c>
      <x:c r="C42" s="10" t="n">
        <x:v>46273.40650462963</x:v>
      </x:c>
      <x:c r="D42" s="2" t="str">
        <x:v>pvc</x:v>
      </x:c>
      <x:c r="E42" s="2" t="str">
        <x:v>V2701</x:v>
      </x:c>
      <x:c r="F42" s="2" t="str">
        <x:v>苏冰</x:v>
      </x:c>
      <x:c r="G42" s="2" t="str">
        <x:v>15m</x:v>
      </x:c>
      <x:c r="H42" s="2" t="str">
        <x:v>多头</x:v>
      </x:c>
      <x:c r="I42" s="2" t="n">
        <x:v>1</x:v>
      </x:c>
      <x:c r="J42" s="10" t="n">
        <x:v>46273.40625</x:v>
      </x:c>
      <x:c r="K42" s="11" t="n">
        <x:v>5043</x:v>
      </x:c>
      <x:c r="L42" s="10" t="n">
        <x:v>46273.40694444445</x:v>
      </x:c>
      <x:c r="M42" s="11" t="n">
        <x:v>5050</x:v>
      </x:c>
      <x:c r="N42" s="11" t="n">
        <x:v>5030</x:v>
      </x:c>
      <x:c r="O42" s="5" t="n">
        <x:f>IF(N42="","",I42*(N42/M42-1))</x:f>
        <x:v>-0.003960396039603964</x:v>
      </x:c>
      <x:c r="P42" s="11" t="n">
        <x:v>5049</x:v>
      </x:c>
      <x:c r="Q42" s="5" t="n">
        <x:f>IF(P42="","",I42*(P42/M42-1))</x:f>
        <x:v>-0.0001980198019801982</x:v>
      </x:c>
      <x:c r="R42" s="11" t="n">
        <x:v>5070</x:v>
      </x:c>
      <x:c r="S42" s="5" t="n">
        <x:f>IF(R42="","",I42*(R42/M42-1))</x:f>
        <x:v>0.003960396039603964</x:v>
      </x:c>
      <x:c r="T42" s="2" t="str">
        <x:f>IF(R42="",AK42,IF(S42&gt;0,"有利",IF(S42&lt;0,"不利","持平")))</x:f>
        <x:v>有利</x:v>
      </x:c>
      <x:c r="U42" s="5" t="n">
        <x:v>0.005346534653465347</x:v>
      </x:c>
      <x:c r="V42" s="5" t="n">
        <x:v>-0.0049504950495049506</x:v>
      </x:c>
      <x:c r="W42" s="2" t="str">
        <x:v>本次未复算；前次：前次复算一致，本次未重算</x:v>
      </x:c>
      <x:c r="X42" s="2" t="str">
        <x:v>逐条结果未留存</x:v>
      </x:c>
      <x:c r="Y42" s="10" t="n">
        <x:v>46273.41736111111</x:v>
      </x:c>
      <x:c r="Z42" s="10" t="n">
        <x:v>46273.43819444445</x:v>
      </x:c>
      <x:c r="AA42" s="10" t="n">
        <x:v>46273.459027777775</x:v>
      </x:c>
      <x:c r="AB42" s="12" t="n">
        <x:v>22.477332</x:v>
      </x:c>
      <x:c r="AC42" s="2" t="str">
        <x:v>subing_ths_alert_15m_v1</x:v>
      </x:c>
      <x:c r="AD42" s="5" t="n">
        <x:v>-0.002181241324608368</x:v>
      </x:c>
      <x:c r="AE42" s="5" t="n">
        <x:v>-0.000396589331746976</x:v>
      </x:c>
      <x:c r="AF42" s="5" t="n">
        <x:v>0.0049573666468372005</x:v>
      </x:c>
      <x:c r="AG42" s="2" t="str">
        <x:v>此前已有</x:v>
      </x:c>
      <x:c r="AH42" s="4" t="n">
        <x:v>46273</x:v>
      </x:c>
      <x:c r="AI42" s="2" t="str">
        <x:v>可评估</x:v>
      </x:c>
      <x:c r="AJ42" s="2" t="str">
        <x:v>可评估</x:v>
      </x:c>
      <x:c r="AK42" s="2" t="str">
        <x:v>可评估</x:v>
      </x:c>
      <x:c r="AL42" s="5" t="n">
        <x:v>-0.0039603960396039604</x:v>
      </x:c>
      <x:c r="AM42" s="5" t="n">
        <x:v>-0.00019801980198019803</x:v>
      </x:c>
      <x:c r="AN42" s="5" t="n">
        <x:v>0.0039603960396039604</x:v>
      </x:c>
      <x:c r="AO42" s="2" t="str">
        <x:v>C62</x:v>
      </x:c>
      <x:c r="AP42" s="2" t="n">
        <x:v>1</x:v>
      </x:c>
    </x:row>
    <x:row r="43" ht="26" customHeight="1">
      <x:c r="A43" s="2" t="n">
        <x:v>63</x:v>
      </x:c>
      <x:c r="B43" s="4" t="n">
        <x:v>46273</x:v>
      </x:c>
      <x:c r="C43" s="10" t="n">
        <x:v>46273.41324074074</x:v>
      </x:c>
      <x:c r="D43" s="2" t="str">
        <x:v>焦煤</x:v>
      </x:c>
      <x:c r="E43" s="2" t="str">
        <x:v>JM2701</x:v>
      </x:c>
      <x:c r="F43" s="2" t="str">
        <x:v>火天大有</x:v>
      </x:c>
      <x:c r="G43" s="2" t="str">
        <x:v>5m</x:v>
      </x:c>
      <x:c r="H43" s="2" t="str">
        <x:v>空头</x:v>
      </x:c>
      <x:c r="I43" s="2" t="n">
        <x:v>-1</x:v>
      </x:c>
      <x:c r="J43" s="10" t="n">
        <x:v>46273.413194444445</x:v>
      </x:c>
      <x:c r="K43" s="11" t="n">
        <x:v>1645</x:v>
      </x:c>
      <x:c r="L43" s="10" t="n">
        <x:v>46273.41388888889</x:v>
      </x:c>
      <x:c r="M43" s="11" t="n">
        <x:v>1643.5</x:v>
      </x:c>
      <x:c r="N43" s="11" t="n">
        <x:v>1647</x:v>
      </x:c>
      <x:c r="O43" s="5" t="n">
        <x:f>IF(N43="","",I43*(N43/M43-1))</x:f>
        <x:v>-0.0021296014602980584</x:v>
      </x:c>
      <x:c r="P43" s="11" t="n">
        <x:v>1657</x:v>
      </x:c>
      <x:c r="Q43" s="5" t="n">
        <x:f>IF(P43="","",I43*(P43/M43-1))</x:f>
        <x:v>-0.008214177061149908</x:v>
      </x:c>
      <x:c r="R43" s="11" t="n">
        <x:v>1667</x:v>
      </x:c>
      <x:c r="S43" s="5" t="n">
        <x:f>IF(R43="","",I43*(R43/M43-1))</x:f>
        <x:v>-0.014298752662001757</x:v>
      </x:c>
      <x:c r="T43" s="2" t="str">
        <x:f>IF(R43="",AK43,IF(S43&gt;0,"有利",IF(S43&lt;0,"不利","持平")))</x:f>
        <x:v>不利</x:v>
      </x:c>
      <x:c r="U43" s="5" t="n">
        <x:v>0.001216915120170368</x:v>
      </x:c>
      <x:c r="V43" s="5" t="n">
        <x:v>-0.015211439002129602</x:v>
      </x:c>
      <x:c r="W43" s="2" t="str">
        <x:v>本次未复算；前次：当前输入复算一致</x:v>
      </x:c>
      <x:c r="X43" s="2" t="str">
        <x:v>逐条结果未留存</x:v>
      </x:c>
      <x:c r="Y43" s="10" t="n">
        <x:v>46273.424305555556</x:v>
      </x:c>
      <x:c r="Z43" s="10" t="n">
        <x:v>46273.44513888889</x:v>
      </x:c>
      <x:c r="AA43" s="10" t="n">
        <x:v>46273.46597222222</x:v>
      </x:c>
      <x:c r="AB43" s="12" t="n">
        <x:v>4.179975</x:v>
      </x:c>
      <x:c r="AC43" s="2" t="str">
        <x:v>htdy_original_15m</x:v>
      </x:c>
      <x:c r="AD43" s="5" t="n">
        <x:v>-0.002127659574468085</x:v>
      </x:c>
      <x:c r="AE43" s="5" t="n">
        <x:v>-0.005775075987841946</x:v>
      </x:c>
      <x:c r="AF43" s="5" t="n">
        <x:v>-0.011854103343465046</x:v>
      </x:c>
      <x:c r="AG43" s="2" t="str">
        <x:v>此前已有</x:v>
      </x:c>
      <x:c r="AH43" s="4" t="n">
        <x:v>46273</x:v>
      </x:c>
      <x:c r="AI43" s="2" t="str">
        <x:v>可评估</x:v>
      </x:c>
      <x:c r="AJ43" s="2" t="str">
        <x:v>可评估</x:v>
      </x:c>
      <x:c r="AK43" s="2" t="str">
        <x:v>可评估</x:v>
      </x:c>
      <x:c r="AL43" s="5" t="n">
        <x:v>-0.0021296014602981443</x:v>
      </x:c>
      <x:c r="AM43" s="5" t="n">
        <x:v>-0.008214177061149984</x:v>
      </x:c>
      <x:c r="AN43" s="5" t="n">
        <x:v>-0.014298752662001825</x:v>
      </x:c>
      <x:c r="AO43" s="2" t="str">
        <x:v>C63</x:v>
      </x:c>
      <x:c r="AP43" s="2" t="n">
        <x:v>1</x:v>
      </x:c>
    </x:row>
    <x:row r="44" ht="26" customHeight="1">
      <x:c r="A44" s="2" t="n">
        <x:v>64</x:v>
      </x:c>
      <x:c r="B44" s="4" t="n">
        <x:v>46273</x:v>
      </x:c>
      <x:c r="C44" s="10" t="n">
        <x:v>46273.416712962964</x:v>
      </x:c>
      <x:c r="D44" s="2" t="str">
        <x:v>烧碱</x:v>
      </x:c>
      <x:c r="E44" s="2" t="str">
        <x:v>SH2611</x:v>
      </x:c>
      <x:c r="F44" s="2" t="str">
        <x:v>苏冰</x:v>
      </x:c>
      <x:c r="G44" s="2" t="str">
        <x:v>15m</x:v>
      </x:c>
      <x:c r="H44" s="2" t="str">
        <x:v>多头</x:v>
      </x:c>
      <x:c r="I44" s="2" t="n">
        <x:v>1</x:v>
      </x:c>
      <x:c r="J44" s="10" t="n">
        <x:v>46273.416666666664</x:v>
      </x:c>
      <x:c r="K44" s="11" t="n">
        <x:v>1938</x:v>
      </x:c>
      <x:c r="L44" s="10" t="n">
        <x:v>46273.41736111111</x:v>
      </x:c>
      <x:c r="M44" s="11" t="n">
        <x:v>1938</x:v>
      </x:c>
      <x:c r="N44" s="11" t="n">
        <x:v>1943</x:v>
      </x:c>
      <x:c r="O44" s="5" t="n">
        <x:f>IF(N44="","",I44*(N44/M44-1))</x:f>
        <x:v>0.0025799793601650745</x:v>
      </x:c>
      <x:c r="P44" s="11" t="n">
        <x:v>1945</x:v>
      </x:c>
      <x:c r="Q44" s="5" t="n">
        <x:f>IF(P44="","",I44*(P44/M44-1))</x:f>
        <x:v>0.00361197110423106</x:v>
      </x:c>
      <x:c r="R44" s="11" t="n">
        <x:v>1962</x:v>
      </x:c>
      <x:c r="S44" s="5" t="n">
        <x:f>IF(R44="","",I44*(R44/M44-1))</x:f>
        <x:v>0.01238390092879249</x:v>
      </x:c>
      <x:c r="T44" s="2" t="str">
        <x:f>IF(R44="",AK44,IF(S44&gt;0,"有利",IF(S44&lt;0,"不利","持平")))</x:f>
        <x:v>有利</x:v>
      </x:c>
      <x:c r="U44" s="5" t="n">
        <x:v>0.013415892672858616</x:v>
      </x:c>
      <x:c r="V44" s="5" t="n">
        <x:v>-0.0005159958720330237</x:v>
      </x:c>
      <x:c r="W44" s="2" t="str">
        <x:v>本次未复算；前次：前次复算一致，本次未重算</x:v>
      </x:c>
      <x:c r="X44" s="2" t="str">
        <x:v>逐条结果未留存</x:v>
      </x:c>
      <x:c r="Y44" s="10" t="n">
        <x:v>46273.43819444445</x:v>
      </x:c>
      <x:c r="Z44" s="10" t="n">
        <x:v>46273.44861111111</x:v>
      </x:c>
      <x:c r="AA44" s="10" t="n">
        <x:v>46273.46944444445</x:v>
      </x:c>
      <x:c r="AB44" s="12" t="n">
        <x:v>4.480512</x:v>
      </x:c>
      <x:c r="AC44" s="2" t="str">
        <x:v>subing_ths_alert_15m_v1</x:v>
      </x:c>
      <x:c r="AD44" s="5" t="n">
        <x:v>0.0015479876160990713</x:v>
      </x:c>
      <x:c r="AE44" s="5" t="n">
        <x:v>0.0041279669762641896</x:v>
      </x:c>
      <x:c r="AF44" s="5" t="n">
        <x:v>0.011351909184726523</x:v>
      </x:c>
      <x:c r="AG44" s="2" t="str">
        <x:v>此前已有</x:v>
      </x:c>
      <x:c r="AH44" s="4" t="n">
        <x:v>46273</x:v>
      </x:c>
      <x:c r="AI44" s="2" t="str">
        <x:v>可评估</x:v>
      </x:c>
      <x:c r="AJ44" s="2" t="str">
        <x:v>可评估</x:v>
      </x:c>
      <x:c r="AK44" s="2" t="str">
        <x:v>可评估</x:v>
      </x:c>
      <x:c r="AL44" s="5" t="n">
        <x:v>0.0025799793601651187</x:v>
      </x:c>
      <x:c r="AM44" s="5" t="n">
        <x:v>0.003611971104231166</x:v>
      </x:c>
      <x:c r="AN44" s="5" t="n">
        <x:v>0.01238390092879257</x:v>
      </x:c>
      <x:c r="AO44" s="2" t="str">
        <x:v>C64</x:v>
      </x:c>
      <x:c r="AP44" s="2" t="n">
        <x:v>1</x:v>
      </x:c>
    </x:row>
    <x:row r="45" ht="26" customHeight="1">
      <x:c r="A45" s="2" t="n">
        <x:v>65</x:v>
      </x:c>
      <x:c r="B45" s="4" t="n">
        <x:v>46273</x:v>
      </x:c>
      <x:c r="C45" s="10" t="n">
        <x:v>46273.416921296295</x:v>
      </x:c>
      <x:c r="D45" s="2" t="str">
        <x:v>豆二</x:v>
      </x:c>
      <x:c r="E45" s="2" t="str">
        <x:v>B2611</x:v>
      </x:c>
      <x:c r="F45" s="2" t="str">
        <x:v>苏冰</x:v>
      </x:c>
      <x:c r="G45" s="2" t="str">
        <x:v>15m</x:v>
      </x:c>
      <x:c r="H45" s="2" t="str">
        <x:v>空头</x:v>
      </x:c>
      <x:c r="I45" s="2" t="n">
        <x:v>-1</x:v>
      </x:c>
      <x:c r="J45" s="10" t="n">
        <x:v>46273.416666666664</x:v>
      </x:c>
      <x:c r="K45" s="11" t="n">
        <x:v>4172</x:v>
      </x:c>
      <x:c r="L45" s="10" t="n">
        <x:v>46273.41736111111</x:v>
      </x:c>
      <x:c r="M45" s="11" t="n">
        <x:v>4173</x:v>
      </x:c>
      <x:c r="N45" s="11" t="n">
        <x:v>4163</x:v>
      </x:c>
      <x:c r="O45" s="5" t="n">
        <x:f>IF(N45="","",I45*(N45/M45-1))</x:f>
        <x:v>0.0023963575365444356</x:v>
      </x:c>
      <x:c r="P45" s="11" t="n">
        <x:v>4158</x:v>
      </x:c>
      <x:c r="Q45" s="5" t="n">
        <x:f>IF(P45="","",I45*(P45/M45-1))</x:f>
        <x:v>0.0035945363048166534</x:v>
      </x:c>
      <x:c r="R45" s="11" t="n">
        <x:v>4175</x:v>
      </x:c>
      <x:c r="S45" s="5" t="n">
        <x:f>IF(R45="","",I45*(R45/M45-1))</x:f>
        <x:v>-0.00047927150730897594</x:v>
      </x:c>
      <x:c r="T45" s="2" t="str">
        <x:f>IF(R45="",AK45,IF(S45&gt;0,"有利",IF(S45&lt;0,"不利","持平")))</x:f>
        <x:v>不利</x:v>
      </x:c>
      <x:c r="U45" s="5" t="n">
        <x:v>0.005271986580397795</x:v>
      </x:c>
      <x:c r="V45" s="5" t="n">
        <x:v>-0.003115264797507788</x:v>
      </x:c>
      <x:c r="W45" s="2" t="str">
        <x:v>本次未复算；前次：前次复算一致，本次未重算</x:v>
      </x:c>
      <x:c r="X45" s="2" t="str">
        <x:v>逐条结果未留存</x:v>
      </x:c>
      <x:c r="Y45" s="10" t="n">
        <x:v>46273.43819444445</x:v>
      </x:c>
      <x:c r="Z45" s="10" t="n">
        <x:v>46273.44861111111</x:v>
      </x:c>
      <x:c r="AA45" s="10" t="n">
        <x:v>46273.46944444445</x:v>
      </x:c>
      <x:c r="AB45" s="12" t="n">
        <x:v>22.006099</x:v>
      </x:c>
      <x:c r="AC45" s="2" t="str">
        <x:v>subing_ths_alert_15m_v1</x:v>
      </x:c>
      <x:c r="AD45" s="5" t="n">
        <x:v>0.0021572387344199425</x:v>
      </x:c>
      <x:c r="AE45" s="5" t="n">
        <x:v>0.0031160115052732505</x:v>
      </x:c>
      <x:c r="AF45" s="5" t="n">
        <x:v>-0.0011984659635666348</x:v>
      </x:c>
      <x:c r="AG45" s="2" t="str">
        <x:v>此前已有</x:v>
      </x:c>
      <x:c r="AH45" s="4" t="n">
        <x:v>46273</x:v>
      </x:c>
      <x:c r="AI45" s="2" t="str">
        <x:v>可评估</x:v>
      </x:c>
      <x:c r="AJ45" s="2" t="str">
        <x:v>可评估</x:v>
      </x:c>
      <x:c r="AK45" s="2" t="str">
        <x:v>可评估</x:v>
      </x:c>
      <x:c r="AL45" s="5" t="n">
        <x:v>0.0023963575365444525</x:v>
      </x:c>
      <x:c r="AM45" s="5" t="n">
        <x:v>0.0035945363048166786</x:v>
      </x:c>
      <x:c r="AN45" s="5" t="n">
        <x:v>-0.0004792715073088905</x:v>
      </x:c>
      <x:c r="AO45" s="2" t="str">
        <x:v>C65</x:v>
      </x:c>
      <x:c r="AP45" s="2" t="n">
        <x:v>1</x:v>
      </x:c>
    </x:row>
    <x:row r="46" ht="26" customHeight="1">
      <x:c r="A46" s="2" t="n">
        <x:v>66</x:v>
      </x:c>
      <x:c r="B46" s="4" t="n">
        <x:v>46273</x:v>
      </x:c>
      <x:c r="C46" s="10" t="n">
        <x:v>46273.417083333334</x:v>
      </x:c>
      <x:c r="D46" s="2" t="str">
        <x:v>焦煤</x:v>
      </x:c>
      <x:c r="E46" s="2" t="str">
        <x:v>JM2701</x:v>
      </x:c>
      <x:c r="F46" s="2" t="str">
        <x:v>火天大有</x:v>
      </x:c>
      <x:c r="G46" s="2" t="str">
        <x:v>5m</x:v>
      </x:c>
      <x:c r="H46" s="2" t="str">
        <x:v>空头</x:v>
      </x:c>
      <x:c r="I46" s="2" t="n">
        <x:v>-1</x:v>
      </x:c>
      <x:c r="J46" s="10" t="n">
        <x:v>46273.416666666664</x:v>
      </x:c>
      <x:c r="K46" s="11" t="n">
        <x:v>1644</x:v>
      </x:c>
      <x:c r="L46" s="10" t="n">
        <x:v>46273.41736111111</x:v>
      </x:c>
      <x:c r="M46" s="11" t="n">
        <x:v>1646</x:v>
      </x:c>
      <x:c r="N46" s="11" t="n">
        <x:v>1645.5</x:v>
      </x:c>
      <x:c r="O46" s="5" t="n">
        <x:f>IF(N46="","",I46*(N46/M46-1))</x:f>
        <x:v>0.0003037667071689176</x:v>
      </x:c>
      <x:c r="P46" s="11" t="n">
        <x:v>1655</x:v>
      </x:c>
      <x:c r="Q46" s="5" t="n">
        <x:f>IF(P46="","",I46*(P46/M46-1))</x:f>
        <x:v>-0.005467800729040073</x:v>
      </x:c>
      <x:c r="R46" s="11" t="n">
        <x:v>1671</x:v>
      </x:c>
      <x:c r="S46" s="5" t="n">
        <x:f>IF(R46="","",I46*(R46/M46-1))</x:f>
        <x:v>-0.015188335358444771</x:v>
      </x:c>
      <x:c r="T46" s="2" t="str">
        <x:f>IF(R46="",AK46,IF(S46&gt;0,"有利",IF(S46&lt;0,"不利","持平")))</x:f>
        <x:v>不利</x:v>
      </x:c>
      <x:c r="U46" s="5" t="n">
        <x:v>0.0006075334143377885</x:v>
      </x:c>
      <x:c r="V46" s="5" t="n">
        <x:v>-0.016099635479951396</x:v>
      </x:c>
      <x:c r="W46" s="2" t="str">
        <x:v>本次未复算；前次：当前输入复算一致</x:v>
      </x:c>
      <x:c r="X46" s="2" t="str">
        <x:v>逐条结果未留存</x:v>
      </x:c>
      <x:c r="Y46" s="10" t="n">
        <x:v>46273.43819444445</x:v>
      </x:c>
      <x:c r="Z46" s="10" t="n">
        <x:v>46273.44861111111</x:v>
      </x:c>
      <x:c r="AA46" s="10" t="n">
        <x:v>46273.46944444445</x:v>
      </x:c>
      <x:c r="AB46" s="12" t="n">
        <x:v>36.862179</x:v>
      </x:c>
      <x:c r="AC46" s="2" t="str">
        <x:v>htdy_original_15m</x:v>
      </x:c>
      <x:c r="AD46" s="5" t="n">
        <x:v>-0.0021289537712895377</x:v>
      </x:c>
      <x:c r="AE46" s="5" t="n">
        <x:v>-0.008211678832116789</x:v>
      </x:c>
      <x:c r="AF46" s="5" t="n">
        <x:v>-0.016423357664233577</x:v>
      </x:c>
      <x:c r="AG46" s="2" t="str">
        <x:v>此前已有</x:v>
      </x:c>
      <x:c r="AH46" s="4" t="n">
        <x:v>46273</x:v>
      </x:c>
      <x:c r="AI46" s="2" t="str">
        <x:v>可评估</x:v>
      </x:c>
      <x:c r="AJ46" s="2" t="str">
        <x:v>可评估</x:v>
      </x:c>
      <x:c r="AK46" s="2" t="str">
        <x:v>可评估</x:v>
      </x:c>
      <x:c r="AL46" s="5" t="n">
        <x:v>0.00030376670716889426</x:v>
      </x:c>
      <x:c r="AM46" s="5" t="n">
        <x:v>-0.0054678007290400975</x:v>
      </x:c>
      <x:c r="AN46" s="5" t="n">
        <x:v>-0.015188335358444714</x:v>
      </x:c>
      <x:c r="AO46" s="2" t="str">
        <x:v>C63</x:v>
      </x:c>
      <x:c r="AP46" s="2" t="n">
        <x:v>0</x:v>
      </x:c>
    </x:row>
    <x:row r="47" ht="26" customHeight="1">
      <x:c r="A47" s="2" t="n">
        <x:v>67</x:v>
      </x:c>
      <x:c r="B47" s="4" t="n">
        <x:v>46273</x:v>
      </x:c>
      <x:c r="C47" s="10" t="n">
        <x:v>46273.4171412037</x:v>
      </x:c>
      <x:c r="D47" s="2" t="str">
        <x:v>工业硅</x:v>
      </x:c>
      <x:c r="E47" s="2" t="str">
        <x:v>SI2611</x:v>
      </x:c>
      <x:c r="F47" s="2" t="str">
        <x:v>苏冰</x:v>
      </x:c>
      <x:c r="G47" s="2" t="str">
        <x:v>15m</x:v>
      </x:c>
      <x:c r="H47" s="2" t="str">
        <x:v>多头</x:v>
      </x:c>
      <x:c r="I47" s="2" t="n">
        <x:v>1</x:v>
      </x:c>
      <x:c r="J47" s="10" t="n">
        <x:v>46273.416666666664</x:v>
      </x:c>
      <x:c r="K47" s="11" t="n">
        <x:v>8745</x:v>
      </x:c>
      <x:c r="L47" s="10" t="n">
        <x:v>46273.41736111111</x:v>
      </x:c>
      <x:c r="M47" s="11" t="n">
        <x:v>8740</x:v>
      </x:c>
      <x:c r="N47" s="11" t="n">
        <x:v>8755</x:v>
      </x:c>
      <x:c r="O47" s="5" t="n">
        <x:f>IF(N47="","",I47*(N47/M47-1))</x:f>
        <x:v>0.0017162471395881784</x:v>
      </x:c>
      <x:c r="P47" s="11" t="n">
        <x:v>8770</x:v>
      </x:c>
      <x:c r="Q47" s="5" t="n">
        <x:f>IF(P47="","",I47*(P47/M47-1))</x:f>
        <x:v>0.003432494279176135</x:v>
      </x:c>
      <x:c r="R47" s="11" t="n">
        <x:v>8855</x:v>
      </x:c>
      <x:c r="S47" s="5" t="n">
        <x:f>IF(R47="","",I47*(R47/M47-1))</x:f>
        <x:v>0.013157894736842035</x:v>
      </x:c>
      <x:c r="T47" s="2" t="str">
        <x:f>IF(R47="",AK47,IF(S47&gt;0,"有利",IF(S47&lt;0,"不利","持平")))</x:f>
        <x:v>有利</x:v>
      </x:c>
      <x:c r="U47" s="5" t="n">
        <x:v>0.013729977116704805</x:v>
      </x:c>
      <x:c r="V47" s="5" t="n">
        <x:v>-0.0005720823798627002</x:v>
      </x:c>
      <x:c r="W47" s="2" t="str">
        <x:v>本次未复算；前次：前次复算一致，本次未重算</x:v>
      </x:c>
      <x:c r="X47" s="2" t="str">
        <x:v>逐条结果未留存</x:v>
      </x:c>
      <x:c r="Y47" s="10" t="n">
        <x:v>46273.43819444445</x:v>
      </x:c>
      <x:c r="Z47" s="10" t="n">
        <x:v>46273.44861111111</x:v>
      </x:c>
      <x:c r="AA47" s="10" t="n">
        <x:v>46273.46944444445</x:v>
      </x:c>
      <x:c r="AB47" s="12" t="n">
        <x:v>41.732333</x:v>
      </x:c>
      <x:c r="AC47" s="2" t="str">
        <x:v>subing_ths_alert_15m_v1</x:v>
      </x:c>
      <x:c r="AD47" s="5" t="n">
        <x:v>0.0011435105774728416</x:v>
      </x:c>
      <x:c r="AE47" s="5" t="n">
        <x:v>0.002858776443682104</x:v>
      </x:c>
      <x:c r="AF47" s="5" t="n">
        <x:v>0.013150371640937679</x:v>
      </x:c>
      <x:c r="AG47" s="2" t="str">
        <x:v>此前已有</x:v>
      </x:c>
      <x:c r="AH47" s="4" t="n">
        <x:v>46273</x:v>
      </x:c>
      <x:c r="AI47" s="2" t="str">
        <x:v>可评估</x:v>
      </x:c>
      <x:c r="AJ47" s="2" t="str">
        <x:v>可评估</x:v>
      </x:c>
      <x:c r="AK47" s="2" t="str">
        <x:v>可评估</x:v>
      </x:c>
      <x:c r="AL47" s="5" t="n">
        <x:v>0.0017162471395881006</x:v>
      </x:c>
      <x:c r="AM47" s="5" t="n">
        <x:v>0.003432494279176201</x:v>
      </x:c>
      <x:c r="AN47" s="5" t="n">
        <x:v>0.013157894736842105</x:v>
      </x:c>
      <x:c r="AO47" s="2" t="str">
        <x:v>C67</x:v>
      </x:c>
      <x:c r="AP47" s="2" t="n">
        <x:v>1</x:v>
      </x:c>
    </x:row>
    <x:row r="48" ht="26" customHeight="1">
      <x:c r="A48" s="2" t="n">
        <x:v>68</x:v>
      </x:c>
      <x:c r="B48" s="4" t="n">
        <x:v>46273</x:v>
      </x:c>
      <x:c r="C48" s="10" t="n">
        <x:v>46273.42017361111</x:v>
      </x:c>
      <x:c r="D48" s="2" t="str">
        <x:v>焦煤</x:v>
      </x:c>
      <x:c r="E48" s="2" t="str">
        <x:v>JM2701</x:v>
      </x:c>
      <x:c r="F48" s="2" t="str">
        <x:v>火天大有</x:v>
      </x:c>
      <x:c r="G48" s="2" t="str">
        <x:v>5m</x:v>
      </x:c>
      <x:c r="H48" s="2" t="str">
        <x:v>空头</x:v>
      </x:c>
      <x:c r="I48" s="2" t="n">
        <x:v>-1</x:v>
      </x:c>
      <x:c r="J48" s="10" t="n">
        <x:v>46273.42013888889</x:v>
      </x:c>
      <x:c r="K48" s="11" t="n">
        <x:v>1651.5</x:v>
      </x:c>
      <x:c r="L48" s="10" t="n">
        <x:v>46273.42083333333</x:v>
      </x:c>
      <x:c r="M48" s="11" t="n">
        <x:v>1651</x:v>
      </x:c>
      <x:c r="N48" s="11" t="n">
        <x:v>1656</x:v>
      </x:c>
      <x:c r="O48" s="5" t="n">
        <x:f>IF(N48="","",I48*(N48/M48-1))</x:f>
        <x:v>-0.0030284675953966556</x:v>
      </x:c>
      <x:c r="P48" s="11" t="n">
        <x:v>1660.5</x:v>
      </x:c>
      <x:c r="Q48" s="5" t="n">
        <x:f>IF(P48="","",I48*(P48/M48-1))</x:f>
        <x:v>-0.00575408843125369</x:v>
      </x:c>
      <x:c r="R48" s="11" t="n">
        <x:v>1673.5</x:v>
      </x:c>
      <x:c r="S48" s="5" t="n">
        <x:f>IF(R48="","",I48*(R48/M48-1))</x:f>
        <x:v>-0.013628104179285172</x:v>
      </x:c>
      <x:c r="T48" s="2" t="str">
        <x:f>IF(R48="",AK48,IF(S48&gt;0,"有利",IF(S48&lt;0,"不利","持平")))</x:f>
        <x:v>不利</x:v>
      </x:c>
      <x:c r="U48" s="5" t="n">
        <x:v>0.0036341611144760752</x:v>
      </x:c>
      <x:c r="V48" s="5" t="n">
        <x:v>-0.014536644457904301</x:v>
      </x:c>
      <x:c r="W48" s="2" t="str">
        <x:v>本次未复算；前次：当前输入复算一致</x:v>
      </x:c>
      <x:c r="X48" s="2" t="str">
        <x:v>逐条结果未留存</x:v>
      </x:c>
      <x:c r="Y48" s="10" t="n">
        <x:v>46273.441666666666</x:v>
      </x:c>
      <x:c r="Z48" s="10" t="n">
        <x:v>46273.45208333333</x:v>
      </x:c>
      <x:c r="AA48" s="10" t="n">
        <x:v>46273.472916666666</x:v>
      </x:c>
      <x:c r="AB48" s="12" t="n">
        <x:v>3.970761</x:v>
      </x:c>
      <x:c r="AC48" s="2" t="str">
        <x:v>htdy_original_15m</x:v>
      </x:c>
      <x:c r="AD48" s="5" t="n">
        <x:v>-0.0027247956403269754</x:v>
      </x:c>
      <x:c r="AE48" s="5" t="n">
        <x:v>-0.006357856494096276</x:v>
      </x:c>
      <x:c r="AF48" s="5" t="n">
        <x:v>-0.011807447774750226</x:v>
      </x:c>
      <x:c r="AG48" s="2" t="str">
        <x:v>此前已有</x:v>
      </x:c>
      <x:c r="AH48" s="4" t="n">
        <x:v>46273</x:v>
      </x:c>
      <x:c r="AI48" s="2" t="str">
        <x:v>可评估</x:v>
      </x:c>
      <x:c r="AJ48" s="2" t="str">
        <x:v>可评估</x:v>
      </x:c>
      <x:c r="AK48" s="2" t="str">
        <x:v>可评估</x:v>
      </x:c>
      <x:c r="AL48" s="5" t="n">
        <x:v>-0.0030284675953967293</x:v>
      </x:c>
      <x:c r="AM48" s="5" t="n">
        <x:v>-0.005754088431253785</x:v>
      </x:c>
      <x:c r="AN48" s="5" t="n">
        <x:v>-0.013628104179285281</x:v>
      </x:c>
      <x:c r="AO48" s="2" t="str">
        <x:v>C63</x:v>
      </x:c>
      <x:c r="AP48" s="2" t="n">
        <x:v>0</x:v>
      </x:c>
    </x:row>
    <x:row r="49" ht="26" customHeight="1">
      <x:c r="A49" s="2" t="n">
        <x:v>69</x:v>
      </x:c>
      <x:c r="B49" s="4" t="n">
        <x:v>46273</x:v>
      </x:c>
      <x:c r="C49" s="10" t="n">
        <x:v>46273.42726851852</x:v>
      </x:c>
      <x:c r="D49" s="2" t="str">
        <x:v>锡</x:v>
      </x:c>
      <x:c r="E49" s="2" t="str">
        <x:v>SN2610</x:v>
      </x:c>
      <x:c r="F49" s="2" t="str">
        <x:v>苏冰</x:v>
      </x:c>
      <x:c r="G49" s="2" t="str">
        <x:v>15m</x:v>
      </x:c>
      <x:c r="H49" s="2" t="str">
        <x:v>空头</x:v>
      </x:c>
      <x:c r="I49" s="2" t="n">
        <x:v>-1</x:v>
      </x:c>
      <x:c r="J49" s="10" t="n">
        <x:v>46273.427083333336</x:v>
      </x:c>
      <x:c r="K49" s="11" t="n">
        <x:v>418820</x:v>
      </x:c>
      <x:c r="L49" s="10" t="n">
        <x:v>46273.43819444445</x:v>
      </x:c>
      <x:c r="M49" s="11" t="n">
        <x:v>418820</x:v>
      </x:c>
      <x:c r="N49" s="11" t="n">
        <x:v>418320</x:v>
      </x:c>
      <x:c r="O49" s="5" t="n">
        <x:f>IF(N49="","",I49*(N49/M49-1))</x:f>
        <x:v>0.0011938302850866833</x:v>
      </x:c>
      <x:c r="P49" s="11" t="n">
        <x:v>418490</x:v>
      </x:c>
      <x:c r="Q49" s="5" t="n">
        <x:f>IF(P49="","",I49*(P49/M49-1))</x:f>
        <x:v>0.0007879279881571888</x:v>
      </x:c>
      <x:c r="R49" s="11" t="n">
        <x:v>418760</x:v>
      </x:c>
      <x:c r="S49" s="5" t="n">
        <x:f>IF(R49="","",I49*(R49/M49-1))</x:f>
        <x:v>0.0001432596342103576</x:v>
      </x:c>
      <x:c r="T49" s="2" t="str">
        <x:f>IF(R49="",AK49,IF(S49&gt;0,"有利",IF(S49&lt;0,"不利","持平")))</x:f>
        <x:v>有利</x:v>
      </x:c>
      <x:c r="U49" s="5" t="n">
        <x:v>0.0019101284561386753</x:v>
      </x:c>
      <x:c r="V49" s="5" t="n">
        <x:v>-0.0012893367078936058</x:v>
      </x:c>
      <x:c r="W49" s="2" t="str">
        <x:v>本次未复算；前次：前次复算一致，本次未重算</x:v>
      </x:c>
      <x:c r="X49" s="2" t="str">
        <x:v>逐条结果未留存</x:v>
      </x:c>
      <x:c r="Y49" s="10" t="n">
        <x:v>46273.44861111111</x:v>
      </x:c>
      <x:c r="Z49" s="10" t="n">
        <x:v>46273.459027777775</x:v>
      </x:c>
      <x:c r="AA49" s="10" t="n">
        <x:v>46273.56319444445</x:v>
      </x:c>
      <x:c r="AB49" s="12" t="n">
        <x:v>16.131625</x:v>
      </x:c>
      <x:c r="AC49" s="2" t="str">
        <x:v>subing_ths_alert_15m_v1</x:v>
      </x:c>
      <x:c r="AD49" s="5" t="n">
        <x:v>0.0011222004679814718</x:v>
      </x:c>
      <x:c r="AE49" s="5" t="n">
        <x:v>0.00047753211403466883</x:v>
      </x:c>
      <x:c r="AF49" s="5" t="n">
        <x:v>-0.00011938302850866721</x:v>
      </x:c>
      <x:c r="AG49" s="2" t="str">
        <x:v>此前已有</x:v>
      </x:c>
      <x:c r="AH49" s="4" t="n">
        <x:v>46273</x:v>
      </x:c>
      <x:c r="AI49" s="2" t="str">
        <x:v>可评估</x:v>
      </x:c>
      <x:c r="AJ49" s="2" t="str">
        <x:v>可评估</x:v>
      </x:c>
      <x:c r="AK49" s="2" t="str">
        <x:v>可评估</x:v>
      </x:c>
      <x:c r="AL49" s="5" t="n">
        <x:v>0.001193830285086672</x:v>
      </x:c>
      <x:c r="AM49" s="5" t="n">
        <x:v>0.0007879279881572035</x:v>
      </x:c>
      <x:c r="AN49" s="5" t="n">
        <x:v>0.00014325963421040066</x:v>
      </x:c>
      <x:c r="AO49" s="2" t="str">
        <x:v>C69</x:v>
      </x:c>
      <x:c r="AP49" s="2" t="n">
        <x:v>1</x:v>
      </x:c>
    </x:row>
    <x:row r="50" ht="26" customHeight="1">
      <x:c r="A50" s="2" t="n">
        <x:v>70</x:v>
      </x:c>
      <x:c r="B50" s="4" t="n">
        <x:v>46273</x:v>
      </x:c>
      <x:c r="C50" s="10" t="n">
        <x:v>46273.427303240744</x:v>
      </x:c>
      <x:c r="D50" s="2" t="str">
        <x:v>焦煤</x:v>
      </x:c>
      <x:c r="E50" s="2" t="str">
        <x:v>JM2701</x:v>
      </x:c>
      <x:c r="F50" s="2" t="str">
        <x:v>火天大有</x:v>
      </x:c>
      <x:c r="G50" s="2" t="str">
        <x:v>5m</x:v>
      </x:c>
      <x:c r="H50" s="2" t="str">
        <x:v>空头</x:v>
      </x:c>
      <x:c r="I50" s="2" t="n">
        <x:v>-1</x:v>
      </x:c>
      <x:c r="J50" s="10" t="n">
        <x:v>46273.427083333336</x:v>
      </x:c>
      <x:c r="K50" s="11" t="n">
        <x:v>1647.5</x:v>
      </x:c>
      <x:c r="L50" s="10" t="n">
        <x:v>46273.43819444445</x:v>
      </x:c>
      <x:c r="M50" s="11" t="n">
        <x:v>1645.5</x:v>
      </x:c>
      <x:c r="N50" s="11" t="n">
        <x:v>1655</x:v>
      </x:c>
      <x:c r="O50" s="5" t="n">
        <x:f>IF(N50="","",I50*(N50/M50-1))</x:f>
        <x:v>-0.005773321178973001</x:v>
      </x:c>
      <x:c r="P50" s="11" t="n">
        <x:v>1663.5</x:v>
      </x:c>
      <x:c r="Q50" s="5" t="n">
        <x:f>IF(P50="","",I50*(P50/M50-1))</x:f>
        <x:v>-0.010938924339106704</x:v>
      </x:c>
      <x:c r="R50" s="11" t="n">
        <x:v>1667.5</x:v>
      </x:c>
      <x:c r="S50" s="5" t="n">
        <x:f>IF(R50="","",I50*(R50/M50-1))</x:f>
        <x:v>-0.013369796414463675</x:v>
      </x:c>
      <x:c r="T50" s="2" t="str">
        <x:f>IF(R50="",AK50,IF(S50&gt;0,"有利",IF(S50&lt;0,"不利","持平")))</x:f>
        <x:v>不利</x:v>
      </x:c>
      <x:c r="U50" s="5" t="n">
        <x:v>0</x:v>
      </x:c>
      <x:c r="V50" s="5" t="n">
        <x:v>-0.017927681555758128</x:v>
      </x:c>
      <x:c r="W50" s="2" t="str">
        <x:v>本次未复算；前次：当前输入复算一致</x:v>
      </x:c>
      <x:c r="X50" s="2" t="str">
        <x:v>逐条结果未留存</x:v>
      </x:c>
      <x:c r="Y50" s="10" t="n">
        <x:v>46273.44861111111</x:v>
      </x:c>
      <x:c r="Z50" s="10" t="n">
        <x:v>46273.459027777775</x:v>
      </x:c>
      <x:c r="AA50" s="10" t="n">
        <x:v>46273.56319444445</x:v>
      </x:c>
      <x:c r="AB50" s="12" t="n">
        <x:v>19.819646</x:v>
      </x:c>
      <x:c r="AC50" s="2" t="str">
        <x:v>htdy_original_15m</x:v>
      </x:c>
      <x:c r="AD50" s="5" t="n">
        <x:v>-0.006069802731411229</x:v>
      </x:c>
      <x:c r="AE50" s="5" t="n">
        <x:v>-0.009408194233687404</x:v>
      </x:c>
      <x:c r="AF50" s="5" t="n">
        <x:v>-0.010015174506828529</x:v>
      </x:c>
      <x:c r="AG50" s="2" t="str">
        <x:v>此前已有</x:v>
      </x:c>
      <x:c r="AH50" s="4" t="n">
        <x:v>46273</x:v>
      </x:c>
      <x:c r="AI50" s="2" t="str">
        <x:v>可评估</x:v>
      </x:c>
      <x:c r="AJ50" s="2" t="str">
        <x:v>可评估</x:v>
      </x:c>
      <x:c r="AK50" s="2" t="str">
        <x:v>可评估</x:v>
      </x:c>
      <x:c r="AL50" s="5" t="n">
        <x:v>-0.005773321178972957</x:v>
      </x:c>
      <x:c r="AM50" s="5" t="n">
        <x:v>-0.010938924339106655</x:v>
      </x:c>
      <x:c r="AN50" s="5" t="n">
        <x:v>-0.013369796414463689</x:v>
      </x:c>
      <x:c r="AO50" s="2" t="str">
        <x:v>C63</x:v>
      </x:c>
      <x:c r="AP50" s="2" t="n">
        <x:v>0</x:v>
      </x:c>
    </x:row>
    <x:row r="51" ht="26" customHeight="1">
      <x:c r="A51" s="2" t="n">
        <x:v>71</x:v>
      </x:c>
      <x:c r="B51" s="4" t="n">
        <x:v>46273</x:v>
      </x:c>
      <x:c r="C51" s="10" t="n">
        <x:v>46273.42733796296</x:v>
      </x:c>
      <x:c r="D51" s="2" t="str">
        <x:v>豆油</x:v>
      </x:c>
      <x:c r="E51" s="2" t="str">
        <x:v>Y2701</x:v>
      </x:c>
      <x:c r="F51" s="2" t="str">
        <x:v>苏冰</x:v>
      </x:c>
      <x:c r="G51" s="2" t="str">
        <x:v>15m</x:v>
      </x:c>
      <x:c r="H51" s="2" t="str">
        <x:v>空头</x:v>
      </x:c>
      <x:c r="I51" s="2" t="n">
        <x:v>-1</x:v>
      </x:c>
      <x:c r="J51" s="10" t="n">
        <x:v>46273.427083333336</x:v>
      </x:c>
      <x:c r="K51" s="11" t="n">
        <x:v>9188</x:v>
      </x:c>
      <x:c r="L51" s="10" t="n">
        <x:v>46273.43819444445</x:v>
      </x:c>
      <x:c r="M51" s="11" t="n">
        <x:v>9189</x:v>
      </x:c>
      <x:c r="N51" s="11" t="n">
        <x:v>9175</x:v>
      </x:c>
      <x:c r="O51" s="5" t="n">
        <x:f>IF(N51="","",I51*(N51/M51-1))</x:f>
        <x:v>0.0015235607791924677</x:v>
      </x:c>
      <x:c r="P51" s="11" t="n">
        <x:v>9187</x:v>
      </x:c>
      <x:c r="Q51" s="5" t="n">
        <x:f>IF(P51="","",I51*(P51/M51-1))</x:f>
        <x:v>0.00021765153988462238</x:v>
      </x:c>
      <x:c r="R51" s="11" t="n">
        <x:v>9209</x:v>
      </x:c>
      <x:c r="S51" s="5" t="n">
        <x:f>IF(R51="","",I51*(R51/M51-1))</x:f>
        <x:v>-0.002176515398846446</x:v>
      </x:c>
      <x:c r="T51" s="2" t="str">
        <x:f>IF(R51="",AK51,IF(S51&gt;0,"有利",IF(S51&lt;0,"不利","持平")))</x:f>
        <x:v>不利</x:v>
      </x:c>
      <x:c r="U51" s="5" t="n">
        <x:v>0.0037000761780389595</x:v>
      </x:c>
      <x:c r="V51" s="5" t="n">
        <x:v>-0.0021765153988464467</x:v>
      </x:c>
      <x:c r="W51" s="2" t="str">
        <x:v>本次未复算；前次：前次复算一致，本次未重算</x:v>
      </x:c>
      <x:c r="X51" s="2" t="str">
        <x:v>逐条结果未留存</x:v>
      </x:c>
      <x:c r="Y51" s="10" t="n">
        <x:v>46273.44861111111</x:v>
      </x:c>
      <x:c r="Z51" s="10" t="n">
        <x:v>46273.459027777775</x:v>
      </x:c>
      <x:c r="AA51" s="10" t="n">
        <x:v>46273.56319444445</x:v>
      </x:c>
      <x:c r="AB51" s="12" t="n">
        <x:v>22.579996</x:v>
      </x:c>
      <x:c r="AC51" s="2" t="str">
        <x:v>subing_ths_alert_15m_v1</x:v>
      </x:c>
      <x:c r="AD51" s="5" t="n">
        <x:v>0.0015237265999129299</x:v>
      </x:c>
      <x:c r="AE51" s="5" t="n">
        <x:v>0.0007618632999564649</x:v>
      </x:c>
      <x:c r="AF51" s="5" t="n">
        <x:v>0.00043535045711797995</x:v>
      </x:c>
      <x:c r="AG51" s="2" t="str">
        <x:v>此前已有</x:v>
      </x:c>
      <x:c r="AH51" s="4" t="n">
        <x:v>46273</x:v>
      </x:c>
      <x:c r="AI51" s="2" t="str">
        <x:v>可评估</x:v>
      </x:c>
      <x:c r="AJ51" s="2" t="str">
        <x:v>可评估</x:v>
      </x:c>
      <x:c r="AK51" s="2" t="str">
        <x:v>可评估</x:v>
      </x:c>
      <x:c r="AL51" s="5" t="n">
        <x:v>0.0015235607791925128</x:v>
      </x:c>
      <x:c r="AM51" s="5" t="n">
        <x:v>0.0002176515398846447</x:v>
      </x:c>
      <x:c r="AN51" s="5" t="n">
        <x:v>-0.0021765153988464467</x:v>
      </x:c>
      <x:c r="AO51" s="2" t="str">
        <x:v>C71</x:v>
      </x:c>
      <x:c r="AP51" s="2" t="n">
        <x:v>1</x:v>
      </x:c>
    </x:row>
    <x:row r="52" ht="26" customHeight="1">
      <x:c r="A52" s="2" t="n">
        <x:v>72</x:v>
      </x:c>
      <x:c r="B52" s="4" t="n">
        <x:v>46273</x:v>
      </x:c>
      <x:c r="C52" s="10" t="n">
        <x:v>46273.44818287037</x:v>
      </x:c>
      <x:c r="D52" s="2" t="str">
        <x:v>焦煤</x:v>
      </x:c>
      <x:c r="E52" s="2" t="str">
        <x:v>JM2701</x:v>
      </x:c>
      <x:c r="F52" s="2" t="str">
        <x:v>火天大有</x:v>
      </x:c>
      <x:c r="G52" s="2" t="str">
        <x:v>5m</x:v>
      </x:c>
      <x:c r="H52" s="2" t="str">
        <x:v>空头</x:v>
      </x:c>
      <x:c r="I52" s="2" t="n">
        <x:v>-1</x:v>
      </x:c>
      <x:c r="J52" s="10" t="n">
        <x:v>46273.447916666664</x:v>
      </x:c>
      <x:c r="K52" s="11" t="n">
        <x:v>1657.5</x:v>
      </x:c>
      <x:c r="L52" s="10" t="n">
        <x:v>46273.44861111111</x:v>
      </x:c>
      <x:c r="M52" s="11" t="n">
        <x:v>1655</x:v>
      </x:c>
      <x:c r="N52" s="11" t="n">
        <x:v>1663.5</x:v>
      </x:c>
      <x:c r="O52" s="5" t="n">
        <x:f>IF(N52="","",I52*(N52/M52-1))</x:f>
        <x:v>-0.005135951661631388</x:v>
      </x:c>
      <x:c r="P52" s="11" t="n">
        <x:v>1671</x:v>
      </x:c>
      <x:c r="Q52" s="5" t="n">
        <x:f>IF(P52="","",I52*(P52/M52-1))</x:f>
        <x:v>-0.009667673716012182</x:v>
      </x:c>
      <x:c r="R52" s="11" t="n">
        <x:v>1665.5</x:v>
      </x:c>
      <x:c r="S52" s="5" t="n">
        <x:f>IF(R52="","",I52*(R52/M52-1))</x:f>
        <x:v>-0.006344410876133022</x:v>
      </x:c>
      <x:c r="T52" s="2" t="str">
        <x:f>IF(R52="",AK52,IF(S52&gt;0,"有利",IF(S52&lt;0,"不利","持平")))</x:f>
        <x:v>不利</x:v>
      </x:c>
      <x:c r="U52" s="5" t="n">
        <x:v>0</x:v>
      </x:c>
      <x:c r="V52" s="5" t="n">
        <x:v>-0.012084592145015106</x:v>
      </x:c>
      <x:c r="W52" s="2" t="str">
        <x:v>本次未复算；前次：当前输入复算一致</x:v>
      </x:c>
      <x:c r="X52" s="2" t="str">
        <x:v>逐条结果未留存</x:v>
      </x:c>
      <x:c r="Y52" s="10" t="n">
        <x:v>46273.459027777775</x:v>
      </x:c>
      <x:c r="Z52" s="10" t="n">
        <x:v>46273.46944444445</x:v>
      </x:c>
      <x:c r="AA52" s="10" t="n">
        <x:v>46273.57361111111</x:v>
      </x:c>
      <x:c r="AB52" s="12" t="n">
        <x:v>23.898153</x:v>
      </x:c>
      <x:c r="AC52" s="2" t="str">
        <x:v>htdy_original_15m</x:v>
      </x:c>
      <x:c r="AD52" s="5" t="n">
        <x:v>-0.0033182503770739064</x:v>
      </x:c>
      <x:c r="AE52" s="5" t="n">
        <x:v>-0.008144796380090498</x:v>
      </x:c>
      <x:c r="AF52" s="5" t="n">
        <x:v>-0.0048265460030165915</x:v>
      </x:c>
      <x:c r="AG52" s="2" t="str">
        <x:v>此前已有</x:v>
      </x:c>
      <x:c r="AH52" s="4" t="n">
        <x:v>46273</x:v>
      </x:c>
      <x:c r="AI52" s="2" t="str">
        <x:v>可评估</x:v>
      </x:c>
      <x:c r="AJ52" s="2" t="str">
        <x:v>可评估</x:v>
      </x:c>
      <x:c r="AK52" s="2" t="str">
        <x:v>可评估</x:v>
      </x:c>
      <x:c r="AL52" s="5" t="n">
        <x:v>-0.00513595166163142</x:v>
      </x:c>
      <x:c r="AM52" s="5" t="n">
        <x:v>-0.009667673716012085</x:v>
      </x:c>
      <x:c r="AN52" s="5" t="n">
        <x:v>-0.006344410876132931</x:v>
      </x:c>
      <x:c r="AO52" s="2" t="str">
        <x:v>C63</x:v>
      </x:c>
      <x:c r="AP52" s="2" t="n">
        <x:v>0</x:v>
      </x:c>
    </x:row>
    <x:row r="53" ht="26" customHeight="1">
      <x:c r="A53" s="2" t="n">
        <x:v>73</x:v>
      </x:c>
      <x:c r="B53" s="4" t="n">
        <x:v>46273</x:v>
      </x:c>
      <x:c r="C53" s="10" t="n">
        <x:v>46273.448229166665</x:v>
      </x:c>
      <x:c r="D53" s="2" t="str">
        <x:v>钯金</x:v>
      </x:c>
      <x:c r="E53" s="2" t="str">
        <x:v>PD2610</x:v>
      </x:c>
      <x:c r="F53" s="2" t="str">
        <x:v>苏冰</x:v>
      </x:c>
      <x:c r="G53" s="2" t="str">
        <x:v>15m</x:v>
      </x:c>
      <x:c r="H53" s="2" t="str">
        <x:v>空头</x:v>
      </x:c>
      <x:c r="I53" s="2" t="n">
        <x:v>-1</x:v>
      </x:c>
      <x:c r="J53" s="10" t="n">
        <x:v>46273.447916666664</x:v>
      </x:c>
      <x:c r="K53" s="11" t="n">
        <x:v>323.6</x:v>
      </x:c>
      <x:c r="L53" s="10" t="n">
        <x:v>46273.44861111111</x:v>
      </x:c>
      <x:c r="M53" s="11" t="n">
        <x:v>323.4</x:v>
      </x:c>
      <x:c r="N53" s="11" t="n">
        <x:v>322.55</x:v>
      </x:c>
      <x:c r="O53" s="5" t="n">
        <x:f>IF(N53="","",I53*(N53/M53-1))</x:f>
        <x:v>0.0026283240568953925</x:v>
      </x:c>
      <x:c r="P53" s="11" t="n">
        <x:v>323.15</x:v>
      </x:c>
      <x:c r="Q53" s="5" t="n">
        <x:f>IF(P53="","",I53*(P53/M53-1))</x:f>
        <x:v>0.0007730364873221873</x:v>
      </x:c>
      <x:c r="R53" s="11" t="n">
        <x:v>323.4</x:v>
      </x:c>
      <x:c r="S53" s="5" t="n">
        <x:f>IF(R53="","",I53*(R53/M53-1))</x:f>
        <x:v>0</x:v>
      </x:c>
      <x:c r="T53" s="2" t="str">
        <x:f>IF(R53="",AK53,IF(S53&gt;0,"有利",IF(S53&lt;0,"不利","持平")))</x:f>
        <x:v>持平</x:v>
      </x:c>
      <x:c r="U53" s="5" t="n">
        <x:v>0.0035559678416821274</x:v>
      </x:c>
      <x:c r="V53" s="5" t="n">
        <x:v>-0.0024737167594310453</x:v>
      </x:c>
      <x:c r="W53" s="2" t="str">
        <x:v>本次未复算；前次：前次复算一致，本次未重算</x:v>
      </x:c>
      <x:c r="X53" s="2" t="str">
        <x:v>逐条结果未留存</x:v>
      </x:c>
      <x:c r="Y53" s="10" t="n">
        <x:v>46273.459027777775</x:v>
      </x:c>
      <x:c r="Z53" s="10" t="n">
        <x:v>46273.46944444445</x:v>
      </x:c>
      <x:c r="AA53" s="10" t="n">
        <x:v>46273.57361111111</x:v>
      </x:c>
      <x:c r="AB53" s="12" t="n">
        <x:v>27.753485</x:v>
      </x:c>
      <x:c r="AC53" s="2" t="str">
        <x:v>subing_ths_alert_15m_v1</x:v>
      </x:c>
      <x:c r="AD53" s="5" t="n">
        <x:v>0.0029357231149567367</x:v>
      </x:c>
      <x:c r="AE53" s="5" t="n">
        <x:v>0.000927070457354759</x:v>
      </x:c>
      <x:c r="AF53" s="5" t="n">
        <x:v>0.0004635352286773795</x:v>
      </x:c>
      <x:c r="AG53" s="2" t="str">
        <x:v>此前已有</x:v>
      </x:c>
      <x:c r="AH53" s="4" t="n">
        <x:v>46273</x:v>
      </x:c>
      <x:c r="AI53" s="2" t="str">
        <x:v>可评估</x:v>
      </x:c>
      <x:c r="AJ53" s="2" t="str">
        <x:v>可评估</x:v>
      </x:c>
      <x:c r="AK53" s="2" t="str">
        <x:v>可评估</x:v>
      </x:c>
      <x:c r="AL53" s="5" t="n">
        <x:v>0.0026283240568954853</x:v>
      </x:c>
      <x:c r="AM53" s="5" t="n">
        <x:v>0.0007730364873222016</x:v>
      </x:c>
      <x:c r="AN53" s="5" t="n">
        <x:v>0</x:v>
      </x:c>
      <x:c r="AO53" s="2" t="str">
        <x:v>C73</x:v>
      </x:c>
      <x:c r="AP53" s="2" t="n">
        <x:v>1</x:v>
      </x:c>
    </x:row>
    <x:row r="54" ht="26" customHeight="1">
      <x:c r="A54" s="2" t="n">
        <x:v>74</x:v>
      </x:c>
      <x:c r="B54" s="4" t="n">
        <x:v>46273</x:v>
      </x:c>
      <x:c r="C54" s="10" t="n">
        <x:v>46273.458553240744</x:v>
      </x:c>
      <x:c r="D54" s="2" t="str">
        <x:v>焦煤</x:v>
      </x:c>
      <x:c r="E54" s="2" t="str">
        <x:v>JM2701</x:v>
      </x:c>
      <x:c r="F54" s="2" t="str">
        <x:v>火天大有</x:v>
      </x:c>
      <x:c r="G54" s="2" t="str">
        <x:v>15m</x:v>
      </x:c>
      <x:c r="H54" s="2" t="str">
        <x:v>空头</x:v>
      </x:c>
      <x:c r="I54" s="2" t="n">
        <x:v>-1</x:v>
      </x:c>
      <x:c r="J54" s="10" t="n">
        <x:v>46273.458333333336</x:v>
      </x:c>
      <x:c r="K54" s="11" t="n">
        <x:v>1663</x:v>
      </x:c>
      <x:c r="L54" s="10" t="n">
        <x:v>46273.459027777775</x:v>
      </x:c>
      <x:c r="M54" s="11" t="n">
        <x:v>1663.5</x:v>
      </x:c>
      <x:c r="N54" s="11" t="n">
        <x:v>1671</x:v>
      </x:c>
      <x:c r="O54" s="5" t="n">
        <x:f>IF(N54="","",I54*(N54/M54-1))</x:f>
        <x:v>-0.004508566275924331</x:v>
      </x:c>
      <x:c r="P54" s="11" t="n">
        <x:v>1667.5</x:v>
      </x:c>
      <x:c r="Q54" s="5" t="n">
        <x:f>IF(P54="","",I54*(P54/M54-1))</x:f>
        <x:v>-0.002404568680492991</x:v>
      </x:c>
      <x:c r="R54" s="11" t="n">
        <x:v>1663</x:v>
      </x:c>
      <x:c r="S54" s="5" t="n">
        <x:f>IF(R54="","",I54*(R54/M54-1))</x:f>
        <x:v>0.00030057108506165164</x:v>
      </x:c>
      <x:c r="T54" s="2" t="str">
        <x:f>IF(R54="",AK54,IF(S54&gt;0,"有利",IF(S54&lt;0,"不利","持平")))</x:f>
        <x:v>有利</x:v>
      </x:c>
      <x:c r="U54" s="5" t="n">
        <x:v>0.003907424105801022</x:v>
      </x:c>
      <x:c r="V54" s="5" t="n">
        <x:v>-0.0069131349564171924</x:v>
      </x:c>
      <x:c r="W54" s="2" t="str">
        <x:v>本次未复算；前次：当前输入复算一致</x:v>
      </x:c>
      <x:c r="X54" s="2" t="str">
        <x:v>逐条结果未留存</x:v>
      </x:c>
      <x:c r="Y54" s="10" t="n">
        <x:v>46273.46944444445</x:v>
      </x:c>
      <x:c r="Z54" s="10" t="n">
        <x:v>46273.56319444445</x:v>
      </x:c>
      <x:c r="AA54" s="10" t="n">
        <x:v>46273.584027777775</x:v>
      </x:c>
      <x:c r="AB54" s="12" t="n">
        <x:v>19.943951</x:v>
      </x:c>
      <x:c r="AC54" s="2" t="str">
        <x:v>htdy_original_15m</x:v>
      </x:c>
      <x:c r="AD54" s="5" t="n">
        <x:v>-0.004810583283223091</x:v>
      </x:c>
      <x:c r="AE54" s="5" t="n">
        <x:v>-0.0006013229104028864</x:v>
      </x:c>
      <x:c r="AF54" s="5" t="n">
        <x:v>-0.0003006614552014432</x:v>
      </x:c>
      <x:c r="AG54" s="2" t="str">
        <x:v>此前已有</x:v>
      </x:c>
      <x:c r="AH54" s="4" t="n">
        <x:v>46273</x:v>
      </x:c>
      <x:c r="AI54" s="2" t="str">
        <x:v>可评估</x:v>
      </x:c>
      <x:c r="AJ54" s="2" t="str">
        <x:v>可评估</x:v>
      </x:c>
      <x:c r="AK54" s="2" t="str">
        <x:v>可评估</x:v>
      </x:c>
      <x:c r="AL54" s="5" t="n">
        <x:v>-0.004508566275924256</x:v>
      </x:c>
      <x:c r="AM54" s="5" t="n">
        <x:v>-0.0024045686804929365</x:v>
      </x:c>
      <x:c r="AN54" s="5" t="n">
        <x:v>0.00030057108506161706</x:v>
      </x:c>
      <x:c r="AO54" s="2" t="str">
        <x:v>C74</x:v>
      </x:c>
      <x:c r="AP54" s="2" t="n">
        <x:v>1</x:v>
      </x:c>
    </x:row>
    <x:row r="55" ht="26" customHeight="1">
      <x:c r="A55" s="2" t="n">
        <x:v>75</x:v>
      </x:c>
      <x:c r="B55" s="4" t="n">
        <x:v>46273</x:v>
      </x:c>
      <x:c r="C55" s="10" t="n">
        <x:v>46273.458645833336</x:v>
      </x:c>
      <x:c r="D55" s="2" t="str">
        <x:v>集运欧线</x:v>
      </x:c>
      <x:c r="E55" s="2" t="str">
        <x:v>EC2610</x:v>
      </x:c>
      <x:c r="F55" s="2" t="str">
        <x:v>苏冰</x:v>
      </x:c>
      <x:c r="G55" s="2" t="str">
        <x:v>15m</x:v>
      </x:c>
      <x:c r="H55" s="2" t="str">
        <x:v>多头</x:v>
      </x:c>
      <x:c r="I55" s="2" t="n">
        <x:v>1</x:v>
      </x:c>
      <x:c r="J55" s="10" t="n">
        <x:v>46273.458333333336</x:v>
      </x:c>
      <x:c r="K55" s="11" t="n">
        <x:v>1911</x:v>
      </x:c>
      <x:c r="L55" s="10" t="n">
        <x:v>46273.459027777775</x:v>
      </x:c>
      <x:c r="M55" s="11" t="n">
        <x:v>1905</x:v>
      </x:c>
      <x:c r="N55" s="11" t="n">
        <x:v>1915.5</x:v>
      </x:c>
      <x:c r="O55" s="5" t="n">
        <x:f>IF(N55="","",I55*(N55/M55-1))</x:f>
        <x:v>0.005511811023622082</x:v>
      </x:c>
      <x:c r="P55" s="11" t="n">
        <x:v>1913</x:v>
      </x:c>
      <x:c r="Q55" s="5" t="n">
        <x:f>IF(P55="","",I55*(P55/M55-1))</x:f>
        <x:v>0.004199475065616909</x:v>
      </x:c>
      <x:c r="R55" s="11" t="n">
        <x:v>1930</x:v>
      </x:c>
      <x:c r="S55" s="5" t="n">
        <x:f>IF(R55="","",I55*(R55/M55-1))</x:f>
        <x:v>0.013123359580052396</x:v>
      </x:c>
      <x:c r="T55" s="2" t="str">
        <x:f>IF(R55="",AK55,IF(S55&gt;0,"有利",IF(S55&lt;0,"不利","持平")))</x:f>
        <x:v>有利</x:v>
      </x:c>
      <x:c r="U55" s="5" t="n">
        <x:v>0.014173228346456693</x:v>
      </x:c>
      <x:c r="V55" s="5" t="n">
        <x:v>-0.007349081364829396</x:v>
      </x:c>
      <x:c r="W55" s="2" t="str">
        <x:v>本次未复算；前次：前次复算一致，本次未重算</x:v>
      </x:c>
      <x:c r="X55" s="2" t="str">
        <x:v>逐条结果未留存</x:v>
      </x:c>
      <x:c r="Y55" s="10" t="n">
        <x:v>46273.46944444445</x:v>
      </x:c>
      <x:c r="Z55" s="10" t="n">
        <x:v>46273.56319444445</x:v>
      </x:c>
      <x:c r="AA55" s="10" t="n">
        <x:v>46273.584027777775</x:v>
      </x:c>
      <x:c r="AB55" s="12" t="n">
        <x:v>27.534367</x:v>
      </x:c>
      <x:c r="AC55" s="2" t="str">
        <x:v>subing_ths_alert_15m_v1</x:v>
      </x:c>
      <x:c r="AD55" s="5" t="n">
        <x:v>0.0010465724751439038</x:v>
      </x:c>
      <x:c r="AE55" s="5" t="n">
        <x:v>-0.00837257980115123</x:v>
      </x:c>
      <x:c r="AF55" s="5" t="n">
        <x:v>0.00706436420722135</x:v>
      </x:c>
      <x:c r="AG55" s="2" t="str">
        <x:v>此前已有</x:v>
      </x:c>
      <x:c r="AH55" s="4" t="n">
        <x:v>46273</x:v>
      </x:c>
      <x:c r="AI55" s="2" t="str">
        <x:v>可评估</x:v>
      </x:c>
      <x:c r="AJ55" s="2" t="str">
        <x:v>可评估</x:v>
      </x:c>
      <x:c r="AK55" s="2" t="str">
        <x:v>可评估</x:v>
      </x:c>
      <x:c r="AL55" s="5" t="n">
        <x:v>0.005511811023622047</x:v>
      </x:c>
      <x:c r="AM55" s="5" t="n">
        <x:v>0.004199475065616798</x:v>
      </x:c>
      <x:c r="AN55" s="5" t="n">
        <x:v>0.013123359580052493</x:v>
      </x:c>
      <x:c r="AO55" s="2" t="str">
        <x:v>C75</x:v>
      </x:c>
      <x:c r="AP55" s="2" t="n">
        <x:v>1</x:v>
      </x:c>
    </x:row>
    <x:row r="56" ht="26" customHeight="1">
      <x:c r="A56" s="2" t="n">
        <x:v>76</x:v>
      </x:c>
      <x:c r="B56" s="4" t="n">
        <x:v>46273</x:v>
      </x:c>
      <x:c r="C56" s="10" t="n">
        <x:v>46273.468831018516</x:v>
      </x:c>
      <x:c r="D56" s="2" t="str">
        <x:v>菜粕</x:v>
      </x:c>
      <x:c r="E56" s="2" t="str">
        <x:v>RM2611</x:v>
      </x:c>
      <x:c r="F56" s="2" t="str">
        <x:v>苏冰</x:v>
      </x:c>
      <x:c r="G56" s="2" t="str">
        <x:v>15m</x:v>
      </x:c>
      <x:c r="H56" s="2" t="str">
        <x:v>多头</x:v>
      </x:c>
      <x:c r="I56" s="2" t="n">
        <x:v>1</x:v>
      </x:c>
      <x:c r="J56" s="10" t="n">
        <x:v>46273.46875</x:v>
      </x:c>
      <x:c r="K56" s="11" t="n">
        <x:v>2364</x:v>
      </x:c>
      <x:c r="L56" s="10" t="n">
        <x:v>46273.46944444445</x:v>
      </x:c>
      <x:c r="M56" s="11" t="n">
        <x:v>2363</x:v>
      </x:c>
      <x:c r="N56" s="11" t="n">
        <x:v>2377</x:v>
      </x:c>
      <x:c r="O56" s="5" t="n">
        <x:f>IF(N56="","",I56*(N56/M56-1))</x:f>
        <x:v>0.0059246720270842435</x:v>
      </x:c>
      <x:c r="P56" s="11" t="n">
        <x:v>2373</x:v>
      </x:c>
      <x:c r="Q56" s="5" t="n">
        <x:f>IF(P56="","",I56*(P56/M56-1))</x:f>
        <x:v>0.004231908590774491</x:v>
      </x:c>
      <x:c r="R56" s="11" t="n">
        <x:v>2371</x:v>
      </x:c>
      <x:c r="S56" s="5" t="n">
        <x:f>IF(R56="","",I56*(R56/M56-1))</x:f>
        <x:v>0.0033855268726195042</x:v>
      </x:c>
      <x:c r="T56" s="2" t="str">
        <x:f>IF(R56="",AK56,IF(S56&gt;0,"有利",IF(S56&lt;0,"不利","持平")))</x:f>
        <x:v>有利</x:v>
      </x:c>
      <x:c r="U56" s="5" t="n">
        <x:v>0.007194244604316547</x:v>
      </x:c>
      <x:c r="V56" s="5" t="n">
        <x:v>0</x:v>
      </x:c>
      <x:c r="W56" s="2" t="str">
        <x:v>本次未复算；前次：前次复算一致，本次未重算</x:v>
      </x:c>
      <x:c r="X56" s="2" t="str">
        <x:v>逐条结果未留存</x:v>
      </x:c>
      <x:c r="Y56" s="10" t="n">
        <x:v>46273.56319444445</x:v>
      </x:c>
      <x:c r="Z56" s="10" t="n">
        <x:v>46273.57361111111</x:v>
      </x:c>
      <x:c r="AA56" s="10" t="n">
        <x:v>46273.59444444445</x:v>
      </x:c>
      <x:c r="AB56" s="12" t="n">
        <x:v>7.126688</x:v>
      </x:c>
      <x:c r="AC56" s="2" t="str">
        <x:v>subing_ths_alert_15m_v1</x:v>
      </x:c>
      <x:c r="AD56" s="5" t="n">
        <x:v>0.004230118443316413</x:v>
      </x:c>
      <x:c r="AE56" s="5" t="n">
        <x:v>0.004230118443316413</x:v>
      </x:c>
      <x:c r="AF56" s="5" t="n">
        <x:v>0.0021150592216582064</x:v>
      </x:c>
      <x:c r="AG56" s="2" t="str">
        <x:v>此前已有</x:v>
      </x:c>
      <x:c r="AH56" s="4" t="n">
        <x:v>46273</x:v>
      </x:c>
      <x:c r="AI56" s="2" t="str">
        <x:v>可评估</x:v>
      </x:c>
      <x:c r="AJ56" s="2" t="str">
        <x:v>可评估</x:v>
      </x:c>
      <x:c r="AK56" s="2" t="str">
        <x:v>可评估</x:v>
      </x:c>
      <x:c r="AL56" s="5" t="n">
        <x:v>0.005924672027084215</x:v>
      </x:c>
      <x:c r="AM56" s="5" t="n">
        <x:v>0.004231908590774439</x:v>
      </x:c>
      <x:c r="AN56" s="5" t="n">
        <x:v>0.0033855268726195515</x:v>
      </x:c>
      <x:c r="AO56" s="2" t="str">
        <x:v>C76</x:v>
      </x:c>
      <x:c r="AP56" s="2" t="n">
        <x:v>1</x:v>
      </x:c>
    </x:row>
    <x:row r="57" ht="26" customHeight="1">
      <x:c r="A57" s="2" t="n">
        <x:v>77</x:v>
      </x:c>
      <x:c r="B57" s="4" t="n">
        <x:v>46273</x:v>
      </x:c>
      <x:c r="C57" s="10" t="n">
        <x:v>46273.468981481485</x:v>
      </x:c>
      <x:c r="D57" s="2" t="str">
        <x:v>焦煤</x:v>
      </x:c>
      <x:c r="E57" s="2" t="str">
        <x:v>JM2701</x:v>
      </x:c>
      <x:c r="F57" s="2" t="str">
        <x:v>火天大有</x:v>
      </x:c>
      <x:c r="G57" s="2" t="str">
        <x:v>15m</x:v>
      </x:c>
      <x:c r="H57" s="2" t="str">
        <x:v>空头</x:v>
      </x:c>
      <x:c r="I57" s="2" t="n">
        <x:v>-1</x:v>
      </x:c>
      <x:c r="J57" s="10" t="n">
        <x:v>46273.46875</x:v>
      </x:c>
      <x:c r="K57" s="11" t="n">
        <x:v>1671</x:v>
      </x:c>
      <x:c r="L57" s="10" t="n">
        <x:v>46273.46944444445</x:v>
      </x:c>
      <x:c r="M57" s="11" t="n">
        <x:v>1671</x:v>
      </x:c>
      <x:c r="N57" s="11" t="n">
        <x:v>1667.5</x:v>
      </x:c>
      <x:c r="O57" s="5" t="n">
        <x:f>IF(N57="","",I57*(N57/M57-1))</x:f>
        <x:v>0.002094554159186135</x:v>
      </x:c>
      <x:c r="P57" s="11" t="n">
        <x:v>1665.5</x:v>
      </x:c>
      <x:c r="Q57" s="5" t="n">
        <x:f>IF(P57="","",I57*(P57/M57-1))</x:f>
        <x:v>0.0032914422501496565</x:v>
      </x:c>
      <x:c r="R57" s="11" t="n">
        <x:v>1663.5</x:v>
      </x:c>
      <x:c r="S57" s="5" t="n">
        <x:f>IF(R57="","",I57*(R57/M57-1))</x:f>
        <x:v>0.004488330341113067</x:v>
      </x:c>
      <x:c r="T57" s="2" t="str">
        <x:f>IF(R57="",AK57,IF(S57&gt;0,"有利",IF(S57&lt;0,"不利","持平")))</x:f>
        <x:v>有利</x:v>
      </x:c>
      <x:c r="U57" s="5" t="n">
        <x:v>0.008378216636744464</x:v>
      </x:c>
      <x:c r="V57" s="5" t="n">
        <x:v>-0.0023937761819269898</x:v>
      </x:c>
      <x:c r="W57" s="2" t="str">
        <x:v>本次未复算；前次：当前输入复算一致</x:v>
      </x:c>
      <x:c r="X57" s="2" t="str">
        <x:v>逐条结果未留存</x:v>
      </x:c>
      <x:c r="Y57" s="10" t="n">
        <x:v>46273.56319444445</x:v>
      </x:c>
      <x:c r="Z57" s="10" t="n">
        <x:v>46273.57361111111</x:v>
      </x:c>
      <x:c r="AA57" s="10" t="n">
        <x:v>46273.59444444445</x:v>
      </x:c>
      <x:c r="AB57" s="12" t="n">
        <x:v>20.793637</x:v>
      </x:c>
      <x:c r="AC57" s="2" t="str">
        <x:v>htdy_original_15m</x:v>
      </x:c>
      <x:c r="AD57" s="5" t="n">
        <x:v>0.004189108318372232</x:v>
      </x:c>
      <x:c r="AE57" s="5" t="n">
        <x:v>0.003291442250149611</x:v>
      </x:c>
      <x:c r="AF57" s="5" t="n">
        <x:v>0.0047875523638539795</x:v>
      </x:c>
      <x:c r="AG57" s="2" t="str">
        <x:v>此前已有</x:v>
      </x:c>
      <x:c r="AH57" s="4" t="n">
        <x:v>46273</x:v>
      </x:c>
      <x:c r="AI57" s="2" t="str">
        <x:v>可评估</x:v>
      </x:c>
      <x:c r="AJ57" s="2" t="str">
        <x:v>可评估</x:v>
      </x:c>
      <x:c r="AK57" s="2" t="str">
        <x:v>可评估</x:v>
      </x:c>
      <x:c r="AL57" s="5" t="n">
        <x:v>0.002094554159186116</x:v>
      </x:c>
      <x:c r="AM57" s="5" t="n">
        <x:v>0.003291442250149611</x:v>
      </x:c>
      <x:c r="AN57" s="5" t="n">
        <x:v>0.004488330341113106</x:v>
      </x:c>
      <x:c r="AO57" s="2" t="str">
        <x:v>C74</x:v>
      </x:c>
      <x:c r="AP57" s="2" t="n">
        <x:v>0</x:v>
      </x:c>
    </x:row>
    <x:row r="58" ht="26" customHeight="1">
      <x:c r="A58" s="2" t="n">
        <x:v>78</x:v>
      </x:c>
      <x:c r="B58" s="4" t="n">
        <x:v>46273</x:v>
      </x:c>
      <x:c r="C58" s="10" t="n">
        <x:v>46273.47949074074</x:v>
      </x:c>
      <x:c r="D58" s="2" t="str">
        <x:v>生猪</x:v>
      </x:c>
      <x:c r="E58" s="2" t="str">
        <x:v>LH2611</x:v>
      </x:c>
      <x:c r="F58" s="2" t="str">
        <x:v>苏冰</x:v>
      </x:c>
      <x:c r="G58" s="2" t="str">
        <x:v>15m</x:v>
      </x:c>
      <x:c r="H58" s="2" t="str">
        <x:v>多头</x:v>
      </x:c>
      <x:c r="I58" s="2" t="n">
        <x:v>1</x:v>
      </x:c>
      <x:c r="J58" s="10" t="n">
        <x:v>46273.479166666664</x:v>
      </x:c>
      <x:c r="K58" s="11" t="n">
        <x:v>11845</x:v>
      </x:c>
      <x:c r="L58" s="10" t="n">
        <x:v>46273.56319444445</x:v>
      </x:c>
      <x:c r="M58" s="11" t="n">
        <x:v>11820</x:v>
      </x:c>
      <x:c r="N58" s="11" t="n">
        <x:v>11805</x:v>
      </x:c>
      <x:c r="O58" s="5" t="n">
        <x:f>IF(N58="","",I58*(N58/M58-1))</x:f>
        <x:v>-0.0012690355329949554</x:v>
      </x:c>
      <x:c r="P58" s="11" t="n">
        <x:v>11840</x:v>
      </x:c>
      <x:c r="Q58" s="5" t="n">
        <x:f>IF(P58="","",I58*(P58/M58-1))</x:f>
        <x:v>0.0016920473773265332</x:v>
      </x:c>
      <x:c r="R58" s="11" t="n">
        <x:v>11865</x:v>
      </x:c>
      <x:c r="S58" s="5" t="n">
        <x:f>IF(R58="","",I58*(R58/M58-1))</x:f>
        <x:v>0.0038071065989848663</x:v>
      </x:c>
      <x:c r="T58" s="2" t="str">
        <x:f>IF(R58="",AK58,IF(S58&gt;0,"有利",IF(S58&lt;0,"不利","持平")))</x:f>
        <x:v>有利</x:v>
      </x:c>
      <x:c r="U58" s="5" t="n">
        <x:v>0.006345177664974619</x:v>
      </x:c>
      <x:c r="V58" s="5" t="n">
        <x:v>-0.00338409475465313</x:v>
      </x:c>
      <x:c r="W58" s="2" t="str">
        <x:v>本次未复算；前次：前次复算一致，本次未重算</x:v>
      </x:c>
      <x:c r="X58" s="2" t="str">
        <x:v>provider_accepted</x:v>
      </x:c>
      <x:c r="Y58" s="10" t="n">
        <x:v>46273.57361111111</x:v>
      </x:c>
      <x:c r="Z58" s="10" t="n">
        <x:v>46273.584027777775</x:v>
      </x:c>
      <x:c r="AA58" s="10" t="n">
        <x:v>46273.60486111111</x:v>
      </x:c>
      <x:c r="AB58" s="12" t="n">
        <x:v>28.766734</x:v>
      </x:c>
      <x:c r="AC58" s="2" t="str">
        <x:v>subing_ths_alert_15m_v1</x:v>
      </x:c>
      <x:c r="AD58" s="5" t="n">
        <x:v>-0.003799071338117349</x:v>
      </x:c>
      <x:c r="AE58" s="5" t="n">
        <x:v>-0.001266357112705783</x:v>
      </x:c>
      <x:c r="AF58" s="5" t="n">
        <x:v>0.001266357112705783</x:v>
      </x:c>
      <x:c r="AG58" s="2" t="str">
        <x:v>此前已有</x:v>
      </x:c>
      <x:c r="AH58" s="4" t="n">
        <x:v>46273</x:v>
      </x:c>
      <x:c r="AI58" s="2" t="str">
        <x:v>可评估</x:v>
      </x:c>
      <x:c r="AJ58" s="2" t="str">
        <x:v>可评估</x:v>
      </x:c>
      <x:c r="AK58" s="2" t="str">
        <x:v>可评估</x:v>
      </x:c>
      <x:c r="AL58" s="5" t="n">
        <x:v>-0.0012690355329949238</x:v>
      </x:c>
      <x:c r="AM58" s="5" t="n">
        <x:v>0.001692047377326565</x:v>
      </x:c>
      <x:c r="AN58" s="5" t="n">
        <x:v>0.0038071065989847717</x:v>
      </x:c>
      <x:c r="AO58" s="2" t="str">
        <x:v>C78</x:v>
      </x:c>
      <x:c r="AP58" s="2" t="n">
        <x:v>1</x:v>
      </x:c>
    </x:row>
    <x:row r="59" ht="26" customHeight="1">
      <x:c r="A59" s="2" t="n">
        <x:v>79</x:v>
      </x:c>
      <x:c r="B59" s="4" t="n">
        <x:v>46273</x:v>
      </x:c>
      <x:c r="C59" s="10" t="n">
        <x:v>46273.57304398148</x:v>
      </x:c>
      <x:c r="D59" s="2" t="str">
        <x:v>豆二</x:v>
      </x:c>
      <x:c r="E59" s="2" t="str">
        <x:v>B2611</x:v>
      </x:c>
      <x:c r="F59" s="2" t="str">
        <x:v>苏冰</x:v>
      </x:c>
      <x:c r="G59" s="2" t="str">
        <x:v>15m</x:v>
      </x:c>
      <x:c r="H59" s="2" t="str">
        <x:v>多头</x:v>
      </x:c>
      <x:c r="I59" s="2" t="n">
        <x:v>1</x:v>
      </x:c>
      <x:c r="J59" s="10" t="n">
        <x:v>46273.572916666664</x:v>
      </x:c>
      <x:c r="K59" s="11" t="n">
        <x:v>4196</x:v>
      </x:c>
      <x:c r="L59" s="10" t="n">
        <x:v>46273.57361111111</x:v>
      </x:c>
      <x:c r="M59" s="11" t="n">
        <x:v>4196</x:v>
      </x:c>
      <x:c r="N59" s="11" t="n">
        <x:v>4186</x:v>
      </x:c>
      <x:c r="O59" s="5" t="n">
        <x:f>IF(N59="","",I59*(N59/M59-1))</x:f>
        <x:v>-0.0023832221163012646</x:v>
      </x:c>
      <x:c r="P59" s="11" t="n">
        <x:v>4187</x:v>
      </x:c>
      <x:c r="Q59" s="5" t="n">
        <x:f>IF(P59="","",I59*(P59/M59-1))</x:f>
        <x:v>-0.002144899904671149</x:v>
      </x:c>
      <x:c r="R59" s="11" t="n">
        <x:v>4168</x:v>
      </x:c>
      <x:c r="S59" s="5" t="n">
        <x:f>IF(R59="","",I59*(R59/M59-1))</x:f>
        <x:v>-0.006673021925643452</x:v>
      </x:c>
      <x:c r="T59" s="2" t="str">
        <x:f>IF(R59="",AK59,IF(S59&gt;0,"有利",IF(S59&lt;0,"不利","持平")))</x:f>
        <x:v>不利</x:v>
      </x:c>
      <x:c r="U59" s="5" t="n">
        <x:v>0</x:v>
      </x:c>
      <x:c r="V59" s="5" t="n">
        <x:v>-0.010009532888465206</x:v>
      </x:c>
      <x:c r="W59" s="2" t="str">
        <x:v>本次未复算；前次：前次复算一致，本次未重算</x:v>
      </x:c>
      <x:c r="X59" s="2" t="str">
        <x:v>逐条结果未留存</x:v>
      </x:c>
      <x:c r="Y59" s="10" t="n">
        <x:v>46273.584027777775</x:v>
      </x:c>
      <x:c r="Z59" s="10" t="n">
        <x:v>46273.59444444445</x:v>
      </x:c>
      <x:c r="AA59" s="10" t="n">
        <x:v>46273.615277777775</x:v>
      </x:c>
      <x:c r="AB59" s="12" t="n">
        <x:v>11.691815</x:v>
      </x:c>
      <x:c r="AC59" s="2" t="str">
        <x:v>subing_ths_alert_15m_v1</x:v>
      </x:c>
      <x:c r="AD59" s="5" t="n">
        <x:v>-0.003098188751191611</x:v>
      </x:c>
      <x:c r="AE59" s="5" t="n">
        <x:v>-0.002621544327931363</x:v>
      </x:c>
      <x:c r="AF59" s="5" t="n">
        <x:v>-0.006911344137273594</x:v>
      </x:c>
      <x:c r="AG59" s="2" t="str">
        <x:v>此前已有</x:v>
      </x:c>
      <x:c r="AH59" s="4" t="n">
        <x:v>46273</x:v>
      </x:c>
      <x:c r="AI59" s="2" t="str">
        <x:v>可评估</x:v>
      </x:c>
      <x:c r="AJ59" s="2" t="str">
        <x:v>可评估</x:v>
      </x:c>
      <x:c r="AK59" s="2" t="str">
        <x:v>可评估</x:v>
      </x:c>
      <x:c r="AL59" s="5" t="n">
        <x:v>-0.0023832221163012394</x:v>
      </x:c>
      <x:c r="AM59" s="5" t="n">
        <x:v>-0.0021448999046711154</x:v>
      </x:c>
      <x:c r="AN59" s="5" t="n">
        <x:v>-0.00667302192564347</x:v>
      </x:c>
      <x:c r="AO59" s="2" t="str">
        <x:v>C79</x:v>
      </x:c>
      <x:c r="AP59" s="2" t="n">
        <x:v>1</x:v>
      </x:c>
    </x:row>
    <x:row r="60" ht="26" customHeight="1">
      <x:c r="A60" s="2" t="n">
        <x:v>80</x:v>
      </x:c>
      <x:c r="B60" s="4" t="n">
        <x:v>46273</x:v>
      </x:c>
      <x:c r="C60" s="10" t="n">
        <x:v>46273.57305555556</x:v>
      </x:c>
      <x:c r="D60" s="2" t="str">
        <x:v>纯苯</x:v>
      </x:c>
      <x:c r="E60" s="2" t="str">
        <x:v>BZ2610</x:v>
      </x:c>
      <x:c r="F60" s="2" t="str">
        <x:v>苏冰</x:v>
      </x:c>
      <x:c r="G60" s="2" t="str">
        <x:v>15m</x:v>
      </x:c>
      <x:c r="H60" s="2" t="str">
        <x:v>多头</x:v>
      </x:c>
      <x:c r="I60" s="2" t="n">
        <x:v>1</x:v>
      </x:c>
      <x:c r="J60" s="10" t="n">
        <x:v>46273.572916666664</x:v>
      </x:c>
      <x:c r="K60" s="11" t="n">
        <x:v>8593</x:v>
      </x:c>
      <x:c r="L60" s="10" t="n">
        <x:v>46273.57361111111</x:v>
      </x:c>
      <x:c r="M60" s="11" t="n">
        <x:v>8602</x:v>
      </x:c>
      <x:c r="N60" s="11" t="n">
        <x:v>8620</x:v>
      </x:c>
      <x:c r="O60" s="5" t="n">
        <x:f>IF(N60="","",I60*(N60/M60-1))</x:f>
        <x:v>0.0020925366193909056</x:v>
      </x:c>
      <x:c r="P60" s="11" t="n">
        <x:v>8680</x:v>
      </x:c>
      <x:c r="Q60" s="5" t="n">
        <x:f>IF(P60="","",I60*(P60/M60-1))</x:f>
        <x:v>0.009067658684027036</x:v>
      </x:c>
      <x:c r="R60" s="11" t="n">
        <x:v>8734</x:v>
      </x:c>
      <x:c r="S60" s="5" t="n">
        <x:f>IF(R60="","",I60*(R60/M60-1))</x:f>
        <x:v>0.01534526854219953</x:v>
      </x:c>
      <x:c r="T60" s="2" t="str">
        <x:f>IF(R60="",AK60,IF(S60&gt;0,"有利",IF(S60&lt;0,"不利","持平")))</x:f>
        <x:v>有利</x:v>
      </x:c>
      <x:c r="U60" s="5" t="n">
        <x:v>0.015577772611020693</x:v>
      </x:c>
      <x:c r="V60" s="5" t="n">
        <x:v>-0.0015112764473378284</x:v>
      </x:c>
      <x:c r="W60" s="2" t="str">
        <x:v>本次未复算；前次：前次复算一致，本次未重算</x:v>
      </x:c>
      <x:c r="X60" s="2" t="str">
        <x:v>逐条结果未留存</x:v>
      </x:c>
      <x:c r="Y60" s="10" t="n">
        <x:v>46273.584027777775</x:v>
      </x:c>
      <x:c r="Z60" s="10" t="n">
        <x:v>46273.59444444445</x:v>
      </x:c>
      <x:c r="AA60" s="10" t="n">
        <x:v>46273.615277777775</x:v>
      </x:c>
      <x:c r="AB60" s="12" t="n">
        <x:v>12.412082</x:v>
      </x:c>
      <x:c r="AC60" s="2" t="str">
        <x:v>subing_ths_alert_15m_v1</x:v>
      </x:c>
      <x:c r="AD60" s="5" t="n">
        <x:v>0.0009309903409752124</x:v>
      </x:c>
      <x:c r="AE60" s="5" t="n">
        <x:v>0.010124519958105435</x:v>
      </x:c>
      <x:c r="AF60" s="5" t="n">
        <x:v>0.015594088211334808</x:v>
      </x:c>
      <x:c r="AG60" s="2" t="str">
        <x:v>此前已有</x:v>
      </x:c>
      <x:c r="AH60" s="4" t="n">
        <x:v>46273</x:v>
      </x:c>
      <x:c r="AI60" s="2" t="str">
        <x:v>可评估</x:v>
      </x:c>
      <x:c r="AJ60" s="2" t="str">
        <x:v>可评估</x:v>
      </x:c>
      <x:c r="AK60" s="2" t="str">
        <x:v>可评估</x:v>
      </x:c>
      <x:c r="AL60" s="5" t="n">
        <x:v>0.0020925366193908393</x:v>
      </x:c>
      <x:c r="AM60" s="5" t="n">
        <x:v>0.00906765868402697</x:v>
      </x:c>
      <x:c r="AN60" s="5" t="n">
        <x:v>0.015345268542199489</x:v>
      </x:c>
      <x:c r="AO60" s="2" t="str">
        <x:v>C80</x:v>
      </x:c>
      <x:c r="AP60" s="2" t="n">
        <x:v>1</x:v>
      </x:c>
    </x:row>
    <x:row r="61" ht="26" customHeight="1">
      <x:c r="A61" s="2" t="n">
        <x:v>81</x:v>
      </x:c>
      <x:c r="B61" s="4" t="n">
        <x:v>46273</x:v>
      </x:c>
      <x:c r="C61" s="10" t="n">
        <x:v>46273.573113425926</x:v>
      </x:c>
      <x:c r="D61" s="2" t="str">
        <x:v>沥青</x:v>
      </x:c>
      <x:c r="E61" s="2" t="str">
        <x:v>BU2610</x:v>
      </x:c>
      <x:c r="F61" s="2" t="str">
        <x:v>苏冰</x:v>
      </x:c>
      <x:c r="G61" s="2" t="str">
        <x:v>15m</x:v>
      </x:c>
      <x:c r="H61" s="2" t="str">
        <x:v>多头</x:v>
      </x:c>
      <x:c r="I61" s="2" t="n">
        <x:v>1</x:v>
      </x:c>
      <x:c r="J61" s="10" t="n">
        <x:v>46273.572916666664</x:v>
      </x:c>
      <x:c r="K61" s="11" t="n">
        <x:v>5177</x:v>
      </x:c>
      <x:c r="L61" s="10" t="n">
        <x:v>46273.57361111111</x:v>
      </x:c>
      <x:c r="M61" s="11" t="n">
        <x:v>5183</x:v>
      </x:c>
      <x:c r="N61" s="11" t="n">
        <x:v>5196</x:v>
      </x:c>
      <x:c r="O61" s="5" t="n">
        <x:f>IF(N61="","",I61*(N61/M61-1))</x:f>
        <x:v>0.0025081998842368947</x:v>
      </x:c>
      <x:c r="P61" s="11" t="n">
        <x:v>5214</x:v>
      </x:c>
      <x:c r="Q61" s="5" t="n">
        <x:f>IF(P61="","",I61*(P61/M61-1))</x:f>
        <x:v>0.005981092031641877</x:v>
      </x:c>
      <x:c r="R61" s="11" t="n">
        <x:v>5198</x:v>
      </x:c>
      <x:c r="S61" s="5" t="n">
        <x:f>IF(R61="","",I61*(R61/M61-1))</x:f>
        <x:v>0.002894076789504041</x:v>
      </x:c>
      <x:c r="T61" s="2" t="str">
        <x:f>IF(R61="",AK61,IF(S61&gt;0,"有利",IF(S61&lt;0,"不利","持平")))</x:f>
        <x:v>有利</x:v>
      </x:c>
      <x:c r="U61" s="5" t="n">
        <x:v>0.008489291915878834</x:v>
      </x:c>
      <x:c r="V61" s="5" t="n">
        <x:v>-0.001736446073702489</x:v>
      </x:c>
      <x:c r="W61" s="2" t="str">
        <x:v>本次未复算；前次：前次复算一致，本次未重算</x:v>
      </x:c>
      <x:c r="X61" s="2" t="str">
        <x:v>逐条结果未留存</x:v>
      </x:c>
      <x:c r="Y61" s="10" t="n">
        <x:v>46273.584027777775</x:v>
      </x:c>
      <x:c r="Z61" s="10" t="n">
        <x:v>46273.59444444445</x:v>
      </x:c>
      <x:c r="AA61" s="10" t="n">
        <x:v>46273.615277777775</x:v>
      </x:c>
      <x:c r="AB61" s="12" t="n">
        <x:v>17.781903</x:v>
      </x:c>
      <x:c r="AC61" s="2" t="str">
        <x:v>subing_ths_alert_15m_v1</x:v>
      </x:c>
      <x:c r="AD61" s="5" t="n">
        <x:v>0.0015452965037666602</x:v>
      </x:c>
      <x:c r="AE61" s="5" t="n">
        <x:v>0.007146996329920803</x:v>
      </x:c>
      <x:c r="AF61" s="5" t="n">
        <x:v>0.003283755070504153</x:v>
      </x:c>
      <x:c r="AG61" s="2" t="str">
        <x:v>此前已有</x:v>
      </x:c>
      <x:c r="AH61" s="4" t="n">
        <x:v>46273</x:v>
      </x:c>
      <x:c r="AI61" s="2" t="str">
        <x:v>可评估</x:v>
      </x:c>
      <x:c r="AJ61" s="2" t="str">
        <x:v>可评估</x:v>
      </x:c>
      <x:c r="AK61" s="2" t="str">
        <x:v>可评估</x:v>
      </x:c>
      <x:c r="AL61" s="5" t="n">
        <x:v>0.0025081998842369285</x:v>
      </x:c>
      <x:c r="AM61" s="5" t="n">
        <x:v>0.0059810920316419065</x:v>
      </x:c>
      <x:c r="AN61" s="5" t="n">
        <x:v>0.002894076789504148</x:v>
      </x:c>
      <x:c r="AO61" s="2" t="str">
        <x:v>C81</x:v>
      </x:c>
      <x:c r="AP61" s="2" t="n">
        <x:v>1</x:v>
      </x:c>
    </x:row>
    <x:row r="62" ht="26" customHeight="1">
      <x:c r="A62" s="2" t="n">
        <x:v>82</x:v>
      </x:c>
      <x:c r="B62" s="4" t="n">
        <x:v>46273</x:v>
      </x:c>
      <x:c r="C62" s="10" t="n">
        <x:v>46273.57313657407</x:v>
      </x:c>
      <x:c r="D62" s="2" t="str">
        <x:v>燃料油</x:v>
      </x:c>
      <x:c r="E62" s="2" t="str">
        <x:v>FU2611</x:v>
      </x:c>
      <x:c r="F62" s="2" t="str">
        <x:v>苏冰</x:v>
      </x:c>
      <x:c r="G62" s="2" t="str">
        <x:v>15m</x:v>
      </x:c>
      <x:c r="H62" s="2" t="str">
        <x:v>多头</x:v>
      </x:c>
      <x:c r="I62" s="2" t="n">
        <x:v>1</x:v>
      </x:c>
      <x:c r="J62" s="10" t="n">
        <x:v>46273.572916666664</x:v>
      </x:c>
      <x:c r="K62" s="11" t="n">
        <x:v>3923</x:v>
      </x:c>
      <x:c r="L62" s="10" t="n">
        <x:v>46273.57361111111</x:v>
      </x:c>
      <x:c r="M62" s="11" t="n">
        <x:v>3930</x:v>
      </x:c>
      <x:c r="N62" s="11" t="n">
        <x:v>3945</x:v>
      </x:c>
      <x:c r="O62" s="5" t="n">
        <x:f>IF(N62="","",I62*(N62/M62-1))</x:f>
        <x:v>0.003816793893129722</x:v>
      </x:c>
      <x:c r="P62" s="11" t="n">
        <x:v>3959</x:v>
      </x:c>
      <x:c r="Q62" s="5" t="n">
        <x:f>IF(P62="","",I62*(P62/M62-1))</x:f>
        <x:v>0.007379134860050929</x:v>
      </x:c>
      <x:c r="R62" s="11" t="n">
        <x:v>3970</x:v>
      </x:c>
      <x:c r="S62" s="5" t="n">
        <x:f>IF(R62="","",I62*(R62/M62-1))</x:f>
        <x:v>0.010178117048346147</x:v>
      </x:c>
      <x:c r="T62" s="2" t="str">
        <x:f>IF(R62="",AK62,IF(S62&gt;0,"有利",IF(S62&lt;0,"不利","持平")))</x:f>
        <x:v>有利</x:v>
      </x:c>
      <x:c r="U62" s="5" t="n">
        <x:v>0.013994910941475827</x:v>
      </x:c>
      <x:c r="V62" s="5" t="n">
        <x:v>-0.0022900763358778627</x:v>
      </x:c>
      <x:c r="W62" s="2" t="str">
        <x:v>本次未复算；前次：前次复算一致，本次未重算</x:v>
      </x:c>
      <x:c r="X62" s="2" t="str">
        <x:v>逐条结果未留存</x:v>
      </x:c>
      <x:c r="Y62" s="10" t="n">
        <x:v>46273.584027777775</x:v>
      </x:c>
      <x:c r="Z62" s="10" t="n">
        <x:v>46273.59444444445</x:v>
      </x:c>
      <x:c r="AA62" s="10" t="n">
        <x:v>46273.615277777775</x:v>
      </x:c>
      <x:c r="AB62" s="12" t="n">
        <x:v>19.320236</x:v>
      </x:c>
      <x:c r="AC62" s="2" t="str">
        <x:v>subing_ths_alert_15m_v1</x:v>
      </x:c>
      <x:c r="AD62" s="5" t="n">
        <x:v>0.0035686974254397143</x:v>
      </x:c>
      <x:c r="AE62" s="5" t="n">
        <x:v>0.008666836604639306</x:v>
      </x:c>
      <x:c r="AF62" s="5" t="n">
        <x:v>0.011980627071119042</x:v>
      </x:c>
      <x:c r="AG62" s="2" t="str">
        <x:v>此前已有</x:v>
      </x:c>
      <x:c r="AH62" s="4" t="n">
        <x:v>46273</x:v>
      </x:c>
      <x:c r="AI62" s="2" t="str">
        <x:v>可评估</x:v>
      </x:c>
      <x:c r="AJ62" s="2" t="str">
        <x:v>可评估</x:v>
      </x:c>
      <x:c r="AK62" s="2" t="str">
        <x:v>可评估</x:v>
      </x:c>
      <x:c r="AL62" s="5" t="n">
        <x:v>0.003816793893129771</x:v>
      </x:c>
      <x:c r="AM62" s="5" t="n">
        <x:v>0.007379134860050891</x:v>
      </x:c>
      <x:c r="AN62" s="5" t="n">
        <x:v>0.010178117048346057</x:v>
      </x:c>
      <x:c r="AO62" s="2" t="str">
        <x:v>C82</x:v>
      </x:c>
      <x:c r="AP62" s="2" t="n">
        <x:v>1</x:v>
      </x:c>
    </x:row>
    <x:row r="63" ht="26" customHeight="1">
      <x:c r="A63" s="2" t="n">
        <x:v>83</x:v>
      </x:c>
      <x:c r="B63" s="4" t="n">
        <x:v>46273</x:v>
      </x:c>
      <x:c r="C63" s="10" t="n">
        <x:v>46273.57320601852</x:v>
      </x:c>
      <x:c r="D63" s="2" t="str">
        <x:v>苯乙烯</x:v>
      </x:c>
      <x:c r="E63" s="2" t="str">
        <x:v>EB2610</x:v>
      </x:c>
      <x:c r="F63" s="2" t="str">
        <x:v>苏冰</x:v>
      </x:c>
      <x:c r="G63" s="2" t="str">
        <x:v>15m</x:v>
      </x:c>
      <x:c r="H63" s="2" t="str">
        <x:v>多头</x:v>
      </x:c>
      <x:c r="I63" s="2" t="n">
        <x:v>1</x:v>
      </x:c>
      <x:c r="J63" s="10" t="n">
        <x:v>46273.572916666664</x:v>
      </x:c>
      <x:c r="K63" s="11" t="n">
        <x:v>9711</x:v>
      </x:c>
      <x:c r="L63" s="10" t="n">
        <x:v>46273.57361111111</x:v>
      </x:c>
      <x:c r="M63" s="11" t="n">
        <x:v>9723</x:v>
      </x:c>
      <x:c r="N63" s="11" t="n">
        <x:v>9740</x:v>
      </x:c>
      <x:c r="O63" s="5" t="n">
        <x:f>IF(N63="","",I63*(N63/M63-1))</x:f>
        <x:v>0.0017484315540470252</x:v>
      </x:c>
      <x:c r="P63" s="11" t="n">
        <x:v>9814</x:v>
      </x:c>
      <x:c r="Q63" s="5" t="n">
        <x:f>IF(P63="","",I63*(P63/M63-1))</x:f>
        <x:v>0.009359251259899226</x:v>
      </x:c>
      <x:c r="R63" s="11" t="n">
        <x:v>9843</x:v>
      </x:c>
      <x:c r="S63" s="5" t="n">
        <x:f>IF(R63="","",I63*(R63/M63-1))</x:f>
        <x:v>0.012341869793273785</x:v>
      </x:c>
      <x:c r="T63" s="2" t="str">
        <x:f>IF(R63="",AK63,IF(S63&gt;0,"有利",IF(S63&lt;0,"不利","持平")))</x:f>
        <x:v>有利</x:v>
      </x:c>
      <x:c r="U63" s="5" t="n">
        <x:v>0.012753265453049471</x:v>
      </x:c>
      <x:c r="V63" s="5" t="n">
        <x:v>-0.0014398848092152627</x:v>
      </x:c>
      <x:c r="W63" s="2" t="str">
        <x:v>本次未复算；前次：前次复算一致，本次未重算</x:v>
      </x:c>
      <x:c r="X63" s="2" t="str">
        <x:v>逐条结果未留存</x:v>
      </x:c>
      <x:c r="Y63" s="10" t="n">
        <x:v>46273.584027777775</x:v>
      </x:c>
      <x:c r="Z63" s="10" t="n">
        <x:v>46273.59444444445</x:v>
      </x:c>
      <x:c r="AA63" s="10" t="n">
        <x:v>46273.615277777775</x:v>
      </x:c>
      <x:c r="AB63" s="12" t="n">
        <x:v>25.227185</x:v>
      </x:c>
      <x:c r="AC63" s="2" t="str">
        <x:v>subing_ths_alert_15m_v1</x:v>
      </x:c>
      <x:c r="AD63" s="5" t="n">
        <x:v>0.0009267840593141798</x:v>
      </x:c>
      <x:c r="AE63" s="5" t="n">
        <x:v>0.010606528678817836</x:v>
      </x:c>
      <x:c r="AF63" s="5" t="n">
        <x:v>0.013489856863350838</x:v>
      </x:c>
      <x:c r="AG63" s="2" t="str">
        <x:v>此前已有</x:v>
      </x:c>
      <x:c r="AH63" s="4" t="n">
        <x:v>46273</x:v>
      </x:c>
      <x:c r="AI63" s="2" t="str">
        <x:v>可评估</x:v>
      </x:c>
      <x:c r="AJ63" s="2" t="str">
        <x:v>可评估</x:v>
      </x:c>
      <x:c r="AK63" s="2" t="str">
        <x:v>可评估</x:v>
      </x:c>
      <x:c r="AL63" s="5" t="n">
        <x:v>0.0017484315540471048</x:v>
      </x:c>
      <x:c r="AM63" s="5" t="n">
        <x:v>0.009359251259899209</x:v>
      </x:c>
      <x:c r="AN63" s="5" t="n">
        <x:v>0.012341869793273681</x:v>
      </x:c>
      <x:c r="AO63" s="2" t="str">
        <x:v>C83</x:v>
      </x:c>
      <x:c r="AP63" s="2" t="n">
        <x:v>1</x:v>
      </x:c>
    </x:row>
    <x:row r="64" ht="26" customHeight="1">
      <x:c r="A64" s="2" t="n">
        <x:v>84</x:v>
      </x:c>
      <x:c r="B64" s="4" t="n">
        <x:v>46273</x:v>
      </x:c>
      <x:c r="C64" s="10" t="n">
        <x:v>46273.57324074074</x:v>
      </x:c>
      <x:c r="D64" s="2" t="str">
        <x:v>豆粕</x:v>
      </x:c>
      <x:c r="E64" s="2" t="str">
        <x:v>M2701</x:v>
      </x:c>
      <x:c r="F64" s="2" t="str">
        <x:v>苏冰</x:v>
      </x:c>
      <x:c r="G64" s="2" t="str">
        <x:v>15m</x:v>
      </x:c>
      <x:c r="H64" s="2" t="str">
        <x:v>多头</x:v>
      </x:c>
      <x:c r="I64" s="2" t="n">
        <x:v>1</x:v>
      </x:c>
      <x:c r="J64" s="10" t="n">
        <x:v>46273.572916666664</x:v>
      </x:c>
      <x:c r="K64" s="11" t="n">
        <x:v>3434</x:v>
      </x:c>
      <x:c r="L64" s="10" t="n">
        <x:v>46273.57361111111</x:v>
      </x:c>
      <x:c r="M64" s="11" t="n">
        <x:v>3433</x:v>
      </x:c>
      <x:c r="N64" s="11" t="n">
        <x:v>3422</x:v>
      </x:c>
      <x:c r="O64" s="5" t="n">
        <x:f>IF(N64="","",I64*(N64/M64-1))</x:f>
        <x:v>-0.0032041945819982764</x:v>
      </x:c>
      <x:c r="P64" s="11" t="n">
        <x:v>3425</x:v>
      </x:c>
      <x:c r="Q64" s="5" t="n">
        <x:f>IF(P64="","",I64*(P64/M64-1))</x:f>
        <x:v>-0.002330323332362383</x:v>
      </x:c>
      <x:c r="R64" s="11" t="n">
        <x:v>3410</x:v>
      </x:c>
      <x:c r="S64" s="5" t="n">
        <x:f>IF(R64="","",I64*(R64/M64-1))</x:f>
        <x:v>-0.006699679580541851</x:v>
      </x:c>
      <x:c r="T64" s="2" t="str">
        <x:f>IF(R64="",AK64,IF(S64&gt;0,"有利",IF(S64&lt;0,"不利","持平")))</x:f>
        <x:v>不利</x:v>
      </x:c>
      <x:c r="U64" s="5" t="n">
        <x:v>0</x:v>
      </x:c>
      <x:c r="V64" s="5" t="n">
        <x:v>-0.009030002912904166</x:v>
      </x:c>
      <x:c r="W64" s="2" t="str">
        <x:v>本次未复算；前次：前次复算一致，本次未重算</x:v>
      </x:c>
      <x:c r="X64" s="2" t="str">
        <x:v>逐条结果未留存</x:v>
      </x:c>
      <x:c r="Y64" s="10" t="n">
        <x:v>46273.584027777775</x:v>
      </x:c>
      <x:c r="Z64" s="10" t="n">
        <x:v>46273.59444444445</x:v>
      </x:c>
      <x:c r="AA64" s="10" t="n">
        <x:v>46273.615277777775</x:v>
      </x:c>
      <x:c r="AB64" s="12" t="n">
        <x:v>28.44368</x:v>
      </x:c>
      <x:c r="AC64" s="2" t="str">
        <x:v>subing_ths_alert_15m_v1</x:v>
      </x:c>
      <x:c r="AD64" s="5" t="n">
        <x:v>-0.0037856726849155504</x:v>
      </x:c>
      <x:c r="AE64" s="5" t="n">
        <x:v>-0.00320326150262085</x:v>
      </x:c>
      <x:c r="AF64" s="5" t="n">
        <x:v>-0.006988934187536401</x:v>
      </x:c>
      <x:c r="AG64" s="2" t="str">
        <x:v>此前已有</x:v>
      </x:c>
      <x:c r="AH64" s="4" t="n">
        <x:v>46273</x:v>
      </x:c>
      <x:c r="AI64" s="2" t="str">
        <x:v>可评估</x:v>
      </x:c>
      <x:c r="AJ64" s="2" t="str">
        <x:v>可评估</x:v>
      </x:c>
      <x:c r="AK64" s="2" t="str">
        <x:v>可评估</x:v>
      </x:c>
      <x:c r="AL64" s="5" t="n">
        <x:v>-0.003204194581998252</x:v>
      </x:c>
      <x:c r="AM64" s="5" t="n">
        <x:v>-0.002330323332362365</x:v>
      </x:c>
      <x:c r="AN64" s="5" t="n">
        <x:v>-0.0066996795805418004</x:v>
      </x:c>
      <x:c r="AO64" s="2" t="str">
        <x:v>C84</x:v>
      </x:c>
      <x:c r="AP64" s="2" t="n">
        <x:v>1</x:v>
      </x:c>
    </x:row>
    <x:row r="65" ht="26" customHeight="1">
      <x:c r="A65" s="2" t="n">
        <x:v>85</x:v>
      </x:c>
      <x:c r="B65" s="4" t="n">
        <x:v>46273</x:v>
      </x:c>
      <x:c r="C65" s="10" t="n">
        <x:v>46273.57329861111</x:v>
      </x:c>
      <x:c r="D65" s="2" t="str">
        <x:v>苹果</x:v>
      </x:c>
      <x:c r="E65" s="2" t="str">
        <x:v>AP2701</x:v>
      </x:c>
      <x:c r="F65" s="2" t="str">
        <x:v>苏冰</x:v>
      </x:c>
      <x:c r="G65" s="2" t="str">
        <x:v>15m</x:v>
      </x:c>
      <x:c r="H65" s="2" t="str">
        <x:v>多头</x:v>
      </x:c>
      <x:c r="I65" s="2" t="n">
        <x:v>1</x:v>
      </x:c>
      <x:c r="J65" s="10" t="n">
        <x:v>46273.572916666664</x:v>
      </x:c>
      <x:c r="K65" s="11" t="n">
        <x:v>7474</x:v>
      </x:c>
      <x:c r="L65" s="10" t="n">
        <x:v>46273.57361111111</x:v>
      </x:c>
      <x:c r="M65" s="11" t="n">
        <x:v>7477</x:v>
      </x:c>
      <x:c r="N65" s="11" t="n">
        <x:v>7476</x:v>
      </x:c>
      <x:c r="O65" s="5" t="n">
        <x:f>IF(N65="","",I65*(N65/M65-1))</x:f>
        <x:v>-0.00013374348000538827</x:v>
      </x:c>
      <x:c r="P65" s="11" t="n">
        <x:v>7469</x:v>
      </x:c>
      <x:c r="Q65" s="5" t="n">
        <x:f>IF(P65="","",I65*(P65/M65-1))</x:f>
        <x:v>-0.001069947840042773</x:v>
      </x:c>
      <x:c r="R65" s="11" t="n">
        <x:v>7472</x:v>
      </x:c>
      <x:c r="S65" s="5" t="n">
        <x:f>IF(R65="","",I65*(R65/M65-1))</x:f>
        <x:v>-0.0006687174000267193</x:v>
      </x:c>
      <x:c r="T65" s="2" t="str">
        <x:f>IF(R65="",AK65,IF(S65&gt;0,"有利",IF(S65&lt;0,"不利","持平")))</x:f>
        <x:v>不利</x:v>
      </x:c>
      <x:c r="U65" s="5" t="n">
        <x:v>0</x:v>
      </x:c>
      <x:c r="V65" s="5" t="n">
        <x:v>-0.0024073826400962954</x:v>
      </x:c>
      <x:c r="W65" s="2" t="str">
        <x:v>本次未复算；前次：前次复算一致，本次未重算</x:v>
      </x:c>
      <x:c r="X65" s="2" t="str">
        <x:v>逐条结果未留存</x:v>
      </x:c>
      <x:c r="Y65" s="10" t="n">
        <x:v>46273.584027777775</x:v>
      </x:c>
      <x:c r="Z65" s="10" t="n">
        <x:v>46273.59444444445</x:v>
      </x:c>
      <x:c r="AA65" s="10" t="n">
        <x:v>46273.615277777775</x:v>
      </x:c>
      <x:c r="AB65" s="12" t="n">
        <x:v>33.657902</x:v>
      </x:c>
      <x:c r="AC65" s="2" t="str">
        <x:v>subing_ths_alert_15m_v1</x:v>
      </x:c>
      <x:c r="AD65" s="5" t="n">
        <x:v>0.0001337971635001338</x:v>
      </x:c>
      <x:c r="AE65" s="5" t="n">
        <x:v>-0.0004013914905004014</x:v>
      </x:c>
      <x:c r="AF65" s="5" t="n">
        <x:v>-0.000668985817500669</x:v>
      </x:c>
      <x:c r="AG65" s="2" t="str">
        <x:v>此前已有</x:v>
      </x:c>
      <x:c r="AH65" s="4" t="n">
        <x:v>46273</x:v>
      </x:c>
      <x:c r="AI65" s="2" t="str">
        <x:v>可评估</x:v>
      </x:c>
      <x:c r="AJ65" s="2" t="str">
        <x:v>可评估</x:v>
      </x:c>
      <x:c r="AK65" s="2" t="str">
        <x:v>可评估</x:v>
      </x:c>
      <x:c r="AL65" s="5" t="n">
        <x:v>-0.00013374348000534973</x:v>
      </x:c>
      <x:c r="AM65" s="5" t="n">
        <x:v>-0.0010699478400427978</x:v>
      </x:c>
      <x:c r="AN65" s="5" t="n">
        <x:v>-0.0006687174000267487</x:v>
      </x:c>
      <x:c r="AO65" s="2" t="str">
        <x:v>C85</x:v>
      </x:c>
      <x:c r="AP65" s="2" t="n">
        <x:v>1</x:v>
      </x:c>
    </x:row>
    <x:row r="66" ht="26" customHeight="1">
      <x:c r="A66" s="2" t="n">
        <x:v>86</x:v>
      </x:c>
      <x:c r="B66" s="4" t="n">
        <x:v>46273</x:v>
      </x:c>
      <x:c r="C66" s="10" t="n">
        <x:v>46273.58347222222</x:v>
      </x:c>
      <x:c r="D66" s="2" t="str">
        <x:v>黄金</x:v>
      </x:c>
      <x:c r="E66" s="2" t="str">
        <x:v>AU2610</x:v>
      </x:c>
      <x:c r="F66" s="2" t="str">
        <x:v>苏冰</x:v>
      </x:c>
      <x:c r="G66" s="2" t="str">
        <x:v>15m</x:v>
      </x:c>
      <x:c r="H66" s="2" t="str">
        <x:v>空头</x:v>
      </x:c>
      <x:c r="I66" s="2" t="n">
        <x:v>-1</x:v>
      </x:c>
      <x:c r="J66" s="10" t="n">
        <x:v>46273.583333333336</x:v>
      </x:c>
      <x:c r="K66" s="11" t="n">
        <x:v>956.74</x:v>
      </x:c>
      <x:c r="L66" s="10" t="n">
        <x:v>46273.584027777775</x:v>
      </x:c>
      <x:c r="M66" s="11" t="n">
        <x:v>956.76</x:v>
      </x:c>
      <x:c r="N66" s="11" t="n">
        <x:v>954.36</x:v>
      </x:c>
      <x:c r="O66" s="5" t="n">
        <x:f>IF(N66="","",I66*(N66/M66-1))</x:f>
        <x:v>0.0025084660729963737</x:v>
      </x:c>
      <x:c r="P66" s="11" t="n">
        <x:v>952.7</x:v>
      </x:c>
      <x:c r="Q66" s="5" t="n">
        <x:f>IF(P66="","",I66*(P66/M66-1))</x:f>
        <x:v>0.004243488440152099</x:v>
      </x:c>
      <x:c r="R66" s="11"/>
      <x:c r="S66" s="5" t="str">
        <x:f>IF(R66="","",I66*(R66/M66-1))</x:f>
      </x:c>
      <x:c r="T66" s="2" t="str">
        <x:f>IF(R66="",AK66,IF(S66&gt;0,"有利",IF(S66&lt;0,"不利","持平")))</x:f>
        <x:v>数据不足</x:v>
      </x:c>
      <x:c r="U66" s="5"/>
      <x:c r="V66" s="5"/>
      <x:c r="W66" s="2" t="str">
        <x:v>本次未复算；前次：前次复算一致，本次未重算</x:v>
      </x:c>
      <x:c r="X66" s="2" t="str">
        <x:v>逐条结果未留存</x:v>
      </x:c>
      <x:c r="Y66" s="10" t="n">
        <x:v>46273.59444444445</x:v>
      </x:c>
      <x:c r="Z66" s="10" t="n">
        <x:v>46273.60486111111</x:v>
      </x:c>
      <x:c r="AA66" s="10"/>
      <x:c r="AB66" s="12" t="n">
        <x:v>12.809033</x:v>
      </x:c>
      <x:c r="AC66" s="2" t="str">
        <x:v>subing_ths_alert_15m_v1</x:v>
      </x:c>
      <x:c r="AD66" s="5" t="n">
        <x:v>0.0017977715993895938</x:v>
      </x:c>
      <x:c r="AE66" s="5" t="n">
        <x:v>0.004348098752012041</x:v>
      </x:c>
      <x:c r="AF66" s="5" t="n">
        <x:v>0.003783682087087401</x:v>
      </x:c>
      <x:c r="AG66" s="2" t="str">
        <x:v>此前已有</x:v>
      </x:c>
      <x:c r="AH66" s="4" t="n">
        <x:v>46273</x:v>
      </x:c>
      <x:c r="AI66" s="2" t="str">
        <x:v>可评估</x:v>
      </x:c>
      <x:c r="AJ66" s="2" t="str">
        <x:v>可评估</x:v>
      </x:c>
      <x:c r="AK66" s="2" t="str">
        <x:v>数据不足</x:v>
      </x:c>
      <x:c r="AL66" s="5" t="n">
        <x:v>0.002508466072996363</x:v>
      </x:c>
      <x:c r="AM66" s="5" t="n">
        <x:v>0.0042434884401521804</x:v>
      </x:c>
      <x:c r="AN66" s="5"/>
      <x:c r="AO66" s="2" t="str">
        <x:v>C86</x:v>
      </x:c>
      <x:c r="AP66" s="2" t="n">
        <x:v>1</x:v>
      </x:c>
    </x:row>
    <x:row r="67" ht="26" customHeight="1">
      <x:c r="A67" s="2" t="n">
        <x:v>87</x:v>
      </x:c>
      <x:c r="B67" s="4" t="n">
        <x:v>46273</x:v>
      </x:c>
      <x:c r="C67" s="10" t="n">
        <x:v>46273.59395833333</x:v>
      </x:c>
      <x:c r="D67" s="2" t="str">
        <x:v>铁矿石</x:v>
      </x:c>
      <x:c r="E67" s="2" t="str">
        <x:v>I2701</x:v>
      </x:c>
      <x:c r="F67" s="2" t="str">
        <x:v>苏冰</x:v>
      </x:c>
      <x:c r="G67" s="2" t="str">
        <x:v>15m</x:v>
      </x:c>
      <x:c r="H67" s="2" t="str">
        <x:v>多头</x:v>
      </x:c>
      <x:c r="I67" s="2" t="n">
        <x:v>1</x:v>
      </x:c>
      <x:c r="J67" s="10" t="n">
        <x:v>46273.59375</x:v>
      </x:c>
      <x:c r="K67" s="11" t="n">
        <x:v>743.5</x:v>
      </x:c>
      <x:c r="L67" s="10" t="n">
        <x:v>46273.59444444445</x:v>
      </x:c>
      <x:c r="M67" s="11" t="n">
        <x:v>743.5</x:v>
      </x:c>
      <x:c r="N67" s="11" t="n">
        <x:v>743.5</x:v>
      </x:c>
      <x:c r="O67" s="5" t="n">
        <x:f>IF(N67="","",I67*(N67/M67-1))</x:f>
        <x:v>0</x:v>
      </x:c>
      <x:c r="P67" s="11" t="n">
        <x:v>743.5</x:v>
      </x:c>
      <x:c r="Q67" s="5" t="n">
        <x:f>IF(P67="","",I67*(P67/M67-1))</x:f>
        <x:v>0</x:v>
      </x:c>
      <x:c r="R67" s="11"/>
      <x:c r="S67" s="5" t="str">
        <x:f>IF(R67="","",I67*(R67/M67-1))</x:f>
      </x:c>
      <x:c r="T67" s="2" t="str">
        <x:f>IF(R67="",AK67,IF(S67&gt;0,"有利",IF(S67&lt;0,"不利","持平")))</x:f>
        <x:v>数据不足</x:v>
      </x:c>
      <x:c r="U67" s="5"/>
      <x:c r="V67" s="5"/>
      <x:c r="W67" s="2" t="str">
        <x:v>本次未复算；前次：前次复算一致，本次未重算</x:v>
      </x:c>
      <x:c r="X67" s="2" t="str">
        <x:v>逐条结果未留存</x:v>
      </x:c>
      <x:c r="Y67" s="10" t="n">
        <x:v>46273.60486111111</x:v>
      </x:c>
      <x:c r="Z67" s="10" t="n">
        <x:v>46273.615277777775</x:v>
      </x:c>
      <x:c r="AA67" s="10"/>
      <x:c r="AB67" s="12" t="n">
        <x:v>18.688061</x:v>
      </x:c>
      <x:c r="AC67" s="2" t="str">
        <x:v>subing_ths_alert_15m_v1</x:v>
      </x:c>
      <x:c r="AD67" s="5" t="n">
        <x:v>0</x:v>
      </x:c>
      <x:c r="AE67" s="5" t="n">
        <x:v>-0.0006724949562878278</x:v>
      </x:c>
      <x:c r="AF67" s="5"/>
      <x:c r="AG67" s="2" t="str">
        <x:v>此前已有</x:v>
      </x:c>
      <x:c r="AH67" s="4" t="n">
        <x:v>46273</x:v>
      </x:c>
      <x:c r="AI67" s="2" t="str">
        <x:v>可评估</x:v>
      </x:c>
      <x:c r="AJ67" s="2" t="str">
        <x:v>可评估</x:v>
      </x:c>
      <x:c r="AK67" s="2" t="str">
        <x:v>数据不足</x:v>
      </x:c>
      <x:c r="AL67" s="5" t="n">
        <x:v>0</x:v>
      </x:c>
      <x:c r="AM67" s="5" t="n">
        <x:v>0</x:v>
      </x:c>
      <x:c r="AN67" s="5"/>
      <x:c r="AO67" s="2" t="str">
        <x:v>C87</x:v>
      </x:c>
      <x:c r="AP67" s="2" t="n">
        <x:v>1</x:v>
      </x:c>
    </x:row>
    <x:row r="68" ht="26" customHeight="1">
      <x:c r="A68" s="2" t="n">
        <x:v>88</x:v>
      </x:c>
      <x:c r="B68" s="4" t="n">
        <x:v>46273</x:v>
      </x:c>
      <x:c r="C68" s="10" t="n">
        <x:v>46273.593993055554</x:v>
      </x:c>
      <x:c r="D68" s="2" t="str">
        <x:v>液化石油气</x:v>
      </x:c>
      <x:c r="E68" s="2" t="str">
        <x:v>PG2610</x:v>
      </x:c>
      <x:c r="F68" s="2" t="str">
        <x:v>苏冰</x:v>
      </x:c>
      <x:c r="G68" s="2" t="str">
        <x:v>15m</x:v>
      </x:c>
      <x:c r="H68" s="2" t="str">
        <x:v>多头</x:v>
      </x:c>
      <x:c r="I68" s="2" t="n">
        <x:v>1</x:v>
      </x:c>
      <x:c r="J68" s="10" t="n">
        <x:v>46273.59375</x:v>
      </x:c>
      <x:c r="K68" s="11" t="n">
        <x:v>6760</x:v>
      </x:c>
      <x:c r="L68" s="10" t="n">
        <x:v>46273.59444444445</x:v>
      </x:c>
      <x:c r="M68" s="11" t="n">
        <x:v>6772</x:v>
      </x:c>
      <x:c r="N68" s="11" t="n">
        <x:v>6770</x:v>
      </x:c>
      <x:c r="O68" s="5" t="n">
        <x:f>IF(N68="","",I68*(N68/M68-1))</x:f>
        <x:v>-0.0002953337271116574</x:v>
      </x:c>
      <x:c r="P68" s="11" t="n">
        <x:v>6821</x:v>
      </x:c>
      <x:c r="Q68" s="5" t="n">
        <x:f>IF(P68="","",I68*(P68/M68-1))</x:f>
        <x:v>0.007235676314235162</x:v>
      </x:c>
      <x:c r="R68" s="11"/>
      <x:c r="S68" s="5" t="str">
        <x:f>IF(R68="","",I68*(R68/M68-1))</x:f>
      </x:c>
      <x:c r="T68" s="2" t="str">
        <x:f>IF(R68="",AK68,IF(S68&gt;0,"有利",IF(S68&lt;0,"不利","持平")))</x:f>
        <x:v>数据不足</x:v>
      </x:c>
      <x:c r="U68" s="5"/>
      <x:c r="V68" s="5"/>
      <x:c r="W68" s="2" t="str">
        <x:v>本次未复算；前次：前次复算一致，本次未重算</x:v>
      </x:c>
      <x:c r="X68" s="2" t="str">
        <x:v>逐条结果未留存</x:v>
      </x:c>
      <x:c r="Y68" s="10" t="n">
        <x:v>46273.60486111111</x:v>
      </x:c>
      <x:c r="Z68" s="10" t="n">
        <x:v>46273.615277777775</x:v>
      </x:c>
      <x:c r="AA68" s="10"/>
      <x:c r="AB68" s="12" t="n">
        <x:v>21.181319</x:v>
      </x:c>
      <x:c r="AC68" s="2" t="str">
        <x:v>subing_ths_alert_15m_v1</x:v>
      </x:c>
      <x:c r="AD68" s="5" t="n">
        <x:v>-0.0014792899408284023</x:v>
      </x:c>
      <x:c r="AE68" s="5" t="n">
        <x:v>0.009171597633136094</x:v>
      </x:c>
      <x:c r="AF68" s="5"/>
      <x:c r="AG68" s="2" t="str">
        <x:v>此前已有</x:v>
      </x:c>
      <x:c r="AH68" s="4" t="n">
        <x:v>46273</x:v>
      </x:c>
      <x:c r="AI68" s="2" t="str">
        <x:v>可评估</x:v>
      </x:c>
      <x:c r="AJ68" s="2" t="str">
        <x:v>可评估</x:v>
      </x:c>
      <x:c r="AK68" s="2" t="str">
        <x:v>数据不足</x:v>
      </x:c>
      <x:c r="AL68" s="5" t="n">
        <x:v>-0.00029533372711163615</x:v>
      </x:c>
      <x:c r="AM68" s="5" t="n">
        <x:v>0.007235676314235086</x:v>
      </x:c>
      <x:c r="AN68" s="5"/>
      <x:c r="AO68" s="2" t="str">
        <x:v>C88</x:v>
      </x:c>
      <x:c r="AP68" s="2" t="n">
        <x:v>1</x:v>
      </x:c>
    </x:row>
    <x:row r="69" ht="26" customHeight="1">
      <x:c r="A69" s="2" t="n">
        <x:v>89</x:v>
      </x:c>
      <x:c r="B69" s="4" t="n">
        <x:v>46273</x:v>
      </x:c>
      <x:c r="C69" s="10" t="n">
        <x:v>46273.60425925926</x:v>
      </x:c>
      <x:c r="D69" s="2" t="str">
        <x:v>豆二</x:v>
      </x:c>
      <x:c r="E69" s="2" t="str">
        <x:v>B2611</x:v>
      </x:c>
      <x:c r="F69" s="2" t="str">
        <x:v>苏冰</x:v>
      </x:c>
      <x:c r="G69" s="2" t="str">
        <x:v>15m</x:v>
      </x:c>
      <x:c r="H69" s="2" t="str">
        <x:v>空头</x:v>
      </x:c>
      <x:c r="I69" s="2" t="n">
        <x:v>-1</x:v>
      </x:c>
      <x:c r="J69" s="10" t="n">
        <x:v>46273.604166666664</x:v>
      </x:c>
      <x:c r="K69" s="11" t="n">
        <x:v>4165</x:v>
      </x:c>
      <x:c r="L69" s="10" t="n">
        <x:v>46273.60486111111</x:v>
      </x:c>
      <x:c r="M69" s="11" t="n">
        <x:v>4166</x:v>
      </x:c>
      <x:c r="N69" s="11" t="n">
        <x:v>4168</x:v>
      </x:c>
      <x:c r="O69" s="5" t="n">
        <x:f>IF(N69="","",I69*(N69/M69-1))</x:f>
        <x:v>-0.00048007681228989796</x:v>
      </x:c>
      <x:c r="P69" s="11"/>
      <x:c r="Q69" s="5" t="str">
        <x:f>IF(P69="","",I69*(P69/M69-1))</x:f>
      </x:c>
      <x:c r="R69" s="11"/>
      <x:c r="S69" s="5" t="str">
        <x:f>IF(R69="","",I69*(R69/M69-1))</x:f>
      </x:c>
      <x:c r="T69" s="2" t="str">
        <x:f>IF(R69="",AK69,IF(S69&gt;0,"有利",IF(S69&lt;0,"不利","持平")))</x:f>
        <x:v>数据不足</x:v>
      </x:c>
      <x:c r="U69" s="5"/>
      <x:c r="V69" s="5"/>
      <x:c r="W69" s="2" t="str">
        <x:v>本次未复算；前次：前次复算一致，本次未重算</x:v>
      </x:c>
      <x:c r="X69" s="2" t="str">
        <x:v>逐条结果未留存</x:v>
      </x:c>
      <x:c r="Y69" s="10" t="n">
        <x:v>46273.615277777775</x:v>
      </x:c>
      <x:c r="Z69" s="10"/>
      <x:c r="AA69" s="10"/>
      <x:c r="AB69" s="12" t="n">
        <x:v>8.790144</x:v>
      </x:c>
      <x:c r="AC69" s="2" t="str">
        <x:v>subing_ths_alert_15m_v1</x:v>
      </x:c>
      <x:c r="AD69" s="5" t="n">
        <x:v>-0.0004801920768307323</x:v>
      </x:c>
      <x:c r="AE69" s="5" t="n">
        <x:v>-0.00024009603841536616</x:v>
      </x:c>
      <x:c r="AF69" s="5"/>
      <x:c r="AG69" s="2" t="str">
        <x:v>此前已有</x:v>
      </x:c>
      <x:c r="AH69" s="4" t="n">
        <x:v>46273</x:v>
      </x:c>
      <x:c r="AI69" s="2" t="str">
        <x:v>可评估</x:v>
      </x:c>
      <x:c r="AJ69" s="2" t="str">
        <x:v>数据不足</x:v>
      </x:c>
      <x:c r="AK69" s="2" t="str">
        <x:v>数据不足</x:v>
      </x:c>
      <x:c r="AL69" s="5" t="n">
        <x:v>-0.00048007681228996637</x:v>
      </x:c>
      <x:c r="AM69" s="5"/>
      <x:c r="AN69" s="5"/>
      <x:c r="AO69" s="2" t="str">
        <x:v>C89</x:v>
      </x:c>
      <x:c r="AP69" s="2" t="n">
        <x:v>1</x:v>
      </x:c>
    </x:row>
    <x:row r="70" ht="26" customHeight="1">
      <x:c r="A70" s="2" t="n">
        <x:v>90</x:v>
      </x:c>
      <x:c r="B70" s="4" t="n">
        <x:v>46273</x:v>
      </x:c>
      <x:c r="C70" s="10" t="n">
        <x:v>46273.60445601852</x:v>
      </x:c>
      <x:c r="D70" s="2" t="str">
        <x:v>红枣</x:v>
      </x:c>
      <x:c r="E70" s="2" t="str">
        <x:v>CJ2701</x:v>
      </x:c>
      <x:c r="F70" s="2" t="str">
        <x:v>苏冰</x:v>
      </x:c>
      <x:c r="G70" s="2" t="str">
        <x:v>15m</x:v>
      </x:c>
      <x:c r="H70" s="2" t="str">
        <x:v>空头</x:v>
      </x:c>
      <x:c r="I70" s="2" t="n">
        <x:v>-1</x:v>
      </x:c>
      <x:c r="J70" s="10" t="n">
        <x:v>46273.604166666664</x:v>
      </x:c>
      <x:c r="K70" s="11" t="n">
        <x:v>7930</x:v>
      </x:c>
      <x:c r="L70" s="10" t="n">
        <x:v>46273.60486111111</x:v>
      </x:c>
      <x:c r="M70" s="11" t="n">
        <x:v>7925</x:v>
      </x:c>
      <x:c r="N70" s="11" t="n">
        <x:v>7920</x:v>
      </x:c>
      <x:c r="O70" s="5" t="n">
        <x:f>IF(N70="","",I70*(N70/M70-1))</x:f>
        <x:v>0.0006309148264984632</x:v>
      </x:c>
      <x:c r="P70" s="11"/>
      <x:c r="Q70" s="5" t="str">
        <x:f>IF(P70="","",I70*(P70/M70-1))</x:f>
      </x:c>
      <x:c r="R70" s="11"/>
      <x:c r="S70" s="5" t="str">
        <x:f>IF(R70="","",I70*(R70/M70-1))</x:f>
      </x:c>
      <x:c r="T70" s="2" t="str">
        <x:f>IF(R70="",AK70,IF(S70&gt;0,"有利",IF(S70&lt;0,"不利","持平")))</x:f>
        <x:v>数据不足</x:v>
      </x:c>
      <x:c r="U70" s="5"/>
      <x:c r="V70" s="5"/>
      <x:c r="W70" s="2" t="str">
        <x:v>本次未复算；前次：前次复算一致，本次未重算</x:v>
      </x:c>
      <x:c r="X70" s="2" t="str">
        <x:v>逐条结果未留存</x:v>
      </x:c>
      <x:c r="Y70" s="10" t="n">
        <x:v>46273.615277777775</x:v>
      </x:c>
      <x:c r="Z70" s="10"/>
      <x:c r="AA70" s="10"/>
      <x:c r="AB70" s="12" t="n">
        <x:v>25.003591</x:v>
      </x:c>
      <x:c r="AC70" s="2" t="str">
        <x:v>subing_ths_alert_15m_v1</x:v>
      </x:c>
      <x:c r="AD70" s="5" t="n">
        <x:v>0.0012610340479192938</x:v>
      </x:c>
      <x:c r="AE70" s="5" t="n">
        <x:v>-0.0012610340479192938</x:v>
      </x:c>
      <x:c r="AF70" s="5"/>
      <x:c r="AG70" s="2" t="str">
        <x:v>此前已有</x:v>
      </x:c>
      <x:c r="AH70" s="4" t="n">
        <x:v>46273</x:v>
      </x:c>
      <x:c r="AI70" s="2" t="str">
        <x:v>可评估</x:v>
      </x:c>
      <x:c r="AJ70" s="2" t="str">
        <x:v>数据不足</x:v>
      </x:c>
      <x:c r="AK70" s="2" t="str">
        <x:v>数据不足</x:v>
      </x:c>
      <x:c r="AL70" s="5" t="n">
        <x:v>0.0006309148264984228</x:v>
      </x:c>
      <x:c r="AM70" s="5"/>
      <x:c r="AN70" s="5"/>
      <x:c r="AO70" s="2" t="str">
        <x:v>C90</x:v>
      </x:c>
      <x:c r="AP70" s="2" t="n">
        <x:v>1</x:v>
      </x:c>
    </x:row>
    <x:row r="71" ht="26" customHeight="1">
      <x:c r="A71" s="2" t="n">
        <x:v>91</x:v>
      </x:c>
      <x:c r="B71" s="4" t="n">
        <x:v>46273</x:v>
      </x:c>
      <x:c r="C71" s="10" t="n">
        <x:v>46273.61481481481</x:v>
      </x:c>
      <x:c r="D71" s="2" t="str">
        <x:v>豆粕</x:v>
      </x:c>
      <x:c r="E71" s="2" t="str">
        <x:v>M2701</x:v>
      </x:c>
      <x:c r="F71" s="2" t="str">
        <x:v>苏冰</x:v>
      </x:c>
      <x:c r="G71" s="2" t="str">
        <x:v>15m</x:v>
      </x:c>
      <x:c r="H71" s="2" t="str">
        <x:v>空头</x:v>
      </x:c>
      <x:c r="I71" s="2" t="n">
        <x:v>-1</x:v>
      </x:c>
      <x:c r="J71" s="10" t="n">
        <x:v>46273.614583333336</x:v>
      </x:c>
      <x:c r="K71" s="11" t="n">
        <x:v>3410</x:v>
      </x:c>
      <x:c r="L71" s="10" t="n">
        <x:v>46273.615277777775</x:v>
      </x:c>
      <x:c r="M71" s="11" t="n">
        <x:v>3410</x:v>
      </x:c>
      <x:c r="N71" s="11"/>
      <x:c r="O71" s="5" t="str">
        <x:f>IF(N71="","",I71*(N71/M71-1))</x:f>
      </x:c>
      <x:c r="P71" s="11"/>
      <x:c r="Q71" s="5" t="str">
        <x:f>IF(P71="","",I71*(P71/M71-1))</x:f>
      </x:c>
      <x:c r="R71" s="11"/>
      <x:c r="S71" s="5" t="str">
        <x:f>IF(R71="","",I71*(R71/M71-1))</x:f>
      </x:c>
      <x:c r="T71" s="2" t="str">
        <x:f>IF(R71="",AK71,IF(S71&gt;0,"有利",IF(S71&lt;0,"不利","持平")))</x:f>
        <x:v>数据不足</x:v>
      </x:c>
      <x:c r="U71" s="5"/>
      <x:c r="V71" s="5"/>
      <x:c r="W71" s="2" t="str">
        <x:v>本次未复算；前次：前次复算一致，本次未重算</x:v>
      </x:c>
      <x:c r="X71" s="2" t="str">
        <x:v>逐条结果未留存</x:v>
      </x:c>
      <x:c r="Y71" s="10"/>
      <x:c r="Z71" s="10"/>
      <x:c r="AA71" s="10"/>
      <x:c r="AB71" s="12" t="n">
        <x:v>20.617623</x:v>
      </x:c>
      <x:c r="AC71" s="2" t="str">
        <x:v>subing_ths_alert_15m_v1</x:v>
      </x:c>
      <x:c r="AD71" s="5" t="n">
        <x:v>-0.001466275659824047</x:v>
      </x:c>
      <x:c r="AE71" s="5"/>
      <x:c r="AF71" s="5"/>
      <x:c r="AG71" s="2" t="str">
        <x:v>此前已有</x:v>
      </x:c>
      <x:c r="AH71" s="4" t="n">
        <x:v>46273</x:v>
      </x:c>
      <x:c r="AI71" s="2" t="str">
        <x:v>数据不足</x:v>
      </x:c>
      <x:c r="AJ71" s="2" t="str">
        <x:v>数据不足</x:v>
      </x:c>
      <x:c r="AK71" s="2" t="str">
        <x:v>数据不足</x:v>
      </x:c>
      <x:c r="AL71" s="5"/>
      <x:c r="AM71" s="5"/>
      <x:c r="AN71" s="5"/>
      <x:c r="AO71" s="2" t="str">
        <x:v>C91</x:v>
      </x:c>
      <x:c r="AP71" s="2" t="n">
        <x:v>1</x:v>
      </x:c>
    </x:row>
    <x:row r="72" ht="26" customHeight="1">
      <x:c r="A72" s="2" t="n">
        <x:v>92</x:v>
      </x:c>
      <x:c r="B72" s="4" t="n">
        <x:v>46273</x:v>
      </x:c>
      <x:c r="C72" s="10" t="n">
        <x:v>46273.625231481485</x:v>
      </x:c>
      <x:c r="D72" s="2" t="str">
        <x:v>焦煤</x:v>
      </x:c>
      <x:c r="E72" s="2" t="str">
        <x:v>JM2701</x:v>
      </x:c>
      <x:c r="F72" s="2" t="str">
        <x:v>火天大有</x:v>
      </x:c>
      <x:c r="G72" s="2" t="str">
        <x:v>5m</x:v>
      </x:c>
      <x:c r="H72" s="2" t="str">
        <x:v>空头</x:v>
      </x:c>
      <x:c r="I72" s="2" t="n">
        <x:v>-1</x:v>
      </x:c>
      <x:c r="J72" s="10" t="n">
        <x:v>46273.625</x:v>
      </x:c>
      <x:c r="K72" s="11" t="n">
        <x:v>1689.5</x:v>
      </x:c>
      <x:c r="L72" s="10" t="n">
        <x:v>46273.87569444445</x:v>
      </x:c>
      <x:c r="M72" s="11"/>
      <x:c r="N72" s="11"/>
      <x:c r="O72" s="5" t="str">
        <x:f>IF(N72="","",I72*(N72/M72-1))</x:f>
      </x:c>
      <x:c r="P72" s="11"/>
      <x:c r="Q72" s="5" t="str">
        <x:f>IF(P72="","",I72*(P72/M72-1))</x:f>
      </x:c>
      <x:c r="R72" s="11"/>
      <x:c r="S72" s="5" t="str">
        <x:f>IF(R72="","",I72*(R72/M72-1))</x:f>
      </x:c>
      <x:c r="T72" s="2" t="str">
        <x:f>IF(R72="",AK72,IF(S72&gt;0,"有利",IF(S72&lt;0,"不利","持平")))</x:f>
        <x:v>数据不足</x:v>
      </x:c>
      <x:c r="U72" s="5"/>
      <x:c r="V72" s="5"/>
      <x:c r="W72" s="2" t="str">
        <x:v>本次未复算；前次：当前输入复算一致</x:v>
      </x:c>
      <x:c r="X72" s="2" t="str">
        <x:v>逐条结果未留存</x:v>
      </x:c>
      <x:c r="Y72" s="10"/>
      <x:c r="Z72" s="10"/>
      <x:c r="AA72" s="10"/>
      <x:c r="AB72" s="12" t="n">
        <x:v>20.175511</x:v>
      </x:c>
      <x:c r="AC72" s="2" t="str">
        <x:v>htdy_original_15m</x:v>
      </x:c>
      <x:c r="AD72" s="5"/>
      <x:c r="AE72" s="5"/>
      <x:c r="AF72" s="5"/>
      <x:c r="AG72" s="2" t="str">
        <x:v>此前已有</x:v>
      </x:c>
      <x:c r="AH72" s="4" t="n">
        <x:v>46273</x:v>
      </x:c>
      <x:c r="AI72" s="2" t="str">
        <x:v>数据不足</x:v>
      </x:c>
      <x:c r="AJ72" s="2" t="str">
        <x:v>数据不足</x:v>
      </x:c>
      <x:c r="AK72" s="2" t="str">
        <x:v>数据不足</x:v>
      </x:c>
      <x:c r="AL72" s="5"/>
      <x:c r="AM72" s="5"/>
      <x:c r="AN72" s="5"/>
      <x:c r="AO72" s="2" t="str">
        <x:v>C92</x:v>
      </x:c>
      <x:c r="AP72" s="2" t="n">
        <x:v>1</x:v>
      </x:c>
    </x:row>
    <x:row r="73" ht="26" customHeight="1">
      <x:c r="A73" s="2" t="n">
        <x:v>93</x:v>
      </x:c>
      <x:c r="B73" s="4" t="n">
        <x:v>46273</x:v>
      </x:c>
      <x:c r="C73" s="10" t="n">
        <x:v>46273.62527777778</x:v>
      </x:c>
      <x:c r="D73" s="2" t="str">
        <x:v>多晶硅</x:v>
      </x:c>
      <x:c r="E73" s="2" t="str">
        <x:v>PS2611</x:v>
      </x:c>
      <x:c r="F73" s="2" t="str">
        <x:v>苏冰</x:v>
      </x:c>
      <x:c r="G73" s="2" t="str">
        <x:v>15m</x:v>
      </x:c>
      <x:c r="H73" s="2" t="str">
        <x:v>空头</x:v>
      </x:c>
      <x:c r="I73" s="2" t="n">
        <x:v>-1</x:v>
      </x:c>
      <x:c r="J73" s="10" t="n">
        <x:v>46273.625</x:v>
      </x:c>
      <x:c r="K73" s="11" t="n">
        <x:v>37195</x:v>
      </x:c>
      <x:c r="L73" s="10" t="n">
        <x:v>46274.37569444445</x:v>
      </x:c>
      <x:c r="M73" s="11"/>
      <x:c r="N73" s="11"/>
      <x:c r="O73" s="5" t="str">
        <x:f>IF(N73="","",I73*(N73/M73-1))</x:f>
      </x:c>
      <x:c r="P73" s="11"/>
      <x:c r="Q73" s="5" t="str">
        <x:f>IF(P73="","",I73*(P73/M73-1))</x:f>
      </x:c>
      <x:c r="R73" s="11"/>
      <x:c r="S73" s="5" t="str">
        <x:f>IF(R73="","",I73*(R73/M73-1))</x:f>
      </x:c>
      <x:c r="T73" s="2" t="str">
        <x:f>IF(R73="",AK73,IF(S73&gt;0,"有利",IF(S73&lt;0,"不利","持平")))</x:f>
        <x:v>数据不足</x:v>
      </x:c>
      <x:c r="U73" s="5"/>
      <x:c r="V73" s="5"/>
      <x:c r="W73" s="2" t="str">
        <x:v>本次未复算；前次：前次复算一致，本次未重算</x:v>
      </x:c>
      <x:c r="X73" s="2" t="str">
        <x:v>provider_accepted</x:v>
      </x:c>
      <x:c r="Y73" s="10"/>
      <x:c r="Z73" s="10"/>
      <x:c r="AA73" s="10"/>
      <x:c r="AB73" s="12" t="n">
        <x:v>24.213894</x:v>
      </x:c>
      <x:c r="AC73" s="2" t="str">
        <x:v>subing_ths_alert_15m_v1</x:v>
      </x:c>
      <x:c r="AD73" s="5"/>
      <x:c r="AE73" s="5"/>
      <x:c r="AF73" s="5"/>
      <x:c r="AG73" s="2" t="str">
        <x:v>此前已有</x:v>
      </x:c>
      <x:c r="AH73" s="4" t="n">
        <x:v>46273</x:v>
      </x:c>
      <x:c r="AI73" s="2" t="str">
        <x:v>数据不足</x:v>
      </x:c>
      <x:c r="AJ73" s="2" t="str">
        <x:v>数据不足</x:v>
      </x:c>
      <x:c r="AK73" s="2" t="str">
        <x:v>数据不足</x:v>
      </x:c>
      <x:c r="AL73" s="5"/>
      <x:c r="AM73" s="5"/>
      <x:c r="AN73" s="5"/>
      <x:c r="AO73" s="2" t="str">
        <x:v>C93</x:v>
      </x:c>
      <x:c r="AP73" s="2" t="n">
        <x:v>1</x:v>
      </x:c>
    </x:row>
    <x:row r="74" ht="26" customHeight="1">
      <x:c r="A74" s="2" t="n">
        <x:v>94</x:v>
      </x:c>
      <x:c r="B74" s="4" t="n">
        <x:v>46273</x:v>
      </x:c>
      <x:c r="C74" s="10" t="n">
        <x:v>46273.88547453703</x:v>
      </x:c>
      <x:c r="D74" s="2" t="str">
        <x:v>菜粕</x:v>
      </x:c>
      <x:c r="E74" s="2" t="str">
        <x:v>RM2611</x:v>
      </x:c>
      <x:c r="F74" s="2" t="str">
        <x:v>苏冰</x:v>
      </x:c>
      <x:c r="G74" s="2" t="str">
        <x:v>15m</x:v>
      </x:c>
      <x:c r="H74" s="2" t="str">
        <x:v>空头</x:v>
      </x:c>
      <x:c r="I74" s="2" t="n">
        <x:v>-1</x:v>
      </x:c>
      <x:c r="J74" s="10" t="n">
        <x:v>46273.885416666664</x:v>
      </x:c>
      <x:c r="K74" s="11"/>
      <x:c r="L74" s="10" t="n">
        <x:v>46273.88611111111</x:v>
      </x:c>
      <x:c r="M74" s="11"/>
      <x:c r="N74" s="11"/>
      <x:c r="O74" s="5" t="str">
        <x:f>IF(N74="","",I74*(N74/M74-1))</x:f>
      </x:c>
      <x:c r="P74" s="11"/>
      <x:c r="Q74" s="5" t="str">
        <x:f>IF(P74="","",I74*(P74/M74-1))</x:f>
      </x:c>
      <x:c r="R74" s="11"/>
      <x:c r="S74" s="5" t="str">
        <x:f>IF(R74="","",I74*(R74/M74-1))</x:f>
      </x:c>
      <x:c r="T74" s="2" t="str">
        <x:f>IF(R74="",AK74,IF(S74&gt;0,"有利",IF(S74&lt;0,"不利","持平")))</x:f>
        <x:v>数据不足</x:v>
      </x:c>
      <x:c r="U74" s="5"/>
      <x:c r="V74" s="5"/>
      <x:c r="W74" s="2" t="str">
        <x:v>本次未复算；前次：前次复算一致，本次未重算</x:v>
      </x:c>
      <x:c r="X74" s="2" t="str">
        <x:v>逐条结果未留存</x:v>
      </x:c>
      <x:c r="Y74" s="10"/>
      <x:c r="Z74" s="10"/>
      <x:c r="AA74" s="10"/>
      <x:c r="AB74" s="12" t="n">
        <x:v>5.338066</x:v>
      </x:c>
      <x:c r="AC74" s="2" t="str">
        <x:v>subing_ths_alert_15m_v1</x:v>
      </x:c>
      <x:c r="AD74" s="5"/>
      <x:c r="AE74" s="5"/>
      <x:c r="AF74" s="5"/>
      <x:c r="AG74" s="2" t="str">
        <x:v>此前已有</x:v>
      </x:c>
      <x:c r="AH74" s="4" t="n">
        <x:v>46274</x:v>
      </x:c>
      <x:c r="AI74" s="2" t="str">
        <x:v>数据不足</x:v>
      </x:c>
      <x:c r="AJ74" s="2" t="str">
        <x:v>数据不足</x:v>
      </x:c>
      <x:c r="AK74" s="2" t="str">
        <x:v>数据不足</x:v>
      </x:c>
      <x:c r="AL74" s="5"/>
      <x:c r="AM74" s="5"/>
      <x:c r="AN74" s="5"/>
      <x:c r="AO74" s="2" t="str">
        <x:v>C94</x:v>
      </x:c>
      <x:c r="AP74" s="2" t="n">
        <x:v>1</x:v>
      </x:c>
    </x:row>
    <x:row r="75" ht="26" customHeight="1">
      <x:c r="A75" s="2" t="n">
        <x:v>95</x:v>
      </x:c>
      <x:c r="B75" s="4" t="n">
        <x:v>46273</x:v>
      </x:c>
      <x:c r="C75" s="10" t="n">
        <x:v>46273.88553240741</x:v>
      </x:c>
      <x:c r="D75" s="2" t="str">
        <x:v>沥青</x:v>
      </x:c>
      <x:c r="E75" s="2" t="str">
        <x:v>BU2610</x:v>
      </x:c>
      <x:c r="F75" s="2" t="str">
        <x:v>苏冰</x:v>
      </x:c>
      <x:c r="G75" s="2" t="str">
        <x:v>15m</x:v>
      </x:c>
      <x:c r="H75" s="2" t="str">
        <x:v>空头</x:v>
      </x:c>
      <x:c r="I75" s="2" t="n">
        <x:v>-1</x:v>
      </x:c>
      <x:c r="J75" s="10" t="n">
        <x:v>46273.885416666664</x:v>
      </x:c>
      <x:c r="K75" s="11"/>
      <x:c r="L75" s="10" t="n">
        <x:v>46273.88611111111</x:v>
      </x:c>
      <x:c r="M75" s="11"/>
      <x:c r="N75" s="11"/>
      <x:c r="O75" s="5" t="str">
        <x:f>IF(N75="","",I75*(N75/M75-1))</x:f>
      </x:c>
      <x:c r="P75" s="11"/>
      <x:c r="Q75" s="5" t="str">
        <x:f>IF(P75="","",I75*(P75/M75-1))</x:f>
      </x:c>
      <x:c r="R75" s="11"/>
      <x:c r="S75" s="5" t="str">
        <x:f>IF(R75="","",I75*(R75/M75-1))</x:f>
      </x:c>
      <x:c r="T75" s="2" t="str">
        <x:f>IF(R75="",AK75,IF(S75&gt;0,"有利",IF(S75&lt;0,"不利","持平")))</x:f>
        <x:v>数据不足</x:v>
      </x:c>
      <x:c r="U75" s="5"/>
      <x:c r="V75" s="5"/>
      <x:c r="W75" s="2" t="str">
        <x:v>本次未复算；前次：前次复算一致，本次未重算</x:v>
      </x:c>
      <x:c r="X75" s="2" t="str">
        <x:v>逐条结果未留存</x:v>
      </x:c>
      <x:c r="Y75" s="10"/>
      <x:c r="Z75" s="10"/>
      <x:c r="AA75" s="10"/>
      <x:c r="AB75" s="12" t="n">
        <x:v>10.239788</x:v>
      </x:c>
      <x:c r="AC75" s="2" t="str">
        <x:v>subing_ths_alert_15m_v1</x:v>
      </x:c>
      <x:c r="AD75" s="5"/>
      <x:c r="AE75" s="5"/>
      <x:c r="AF75" s="5"/>
      <x:c r="AG75" s="2" t="str">
        <x:v>此前已有</x:v>
      </x:c>
      <x:c r="AH75" s="4" t="n">
        <x:v>46274</x:v>
      </x:c>
      <x:c r="AI75" s="2" t="str">
        <x:v>数据不足</x:v>
      </x:c>
      <x:c r="AJ75" s="2" t="str">
        <x:v>数据不足</x:v>
      </x:c>
      <x:c r="AK75" s="2" t="str">
        <x:v>数据不足</x:v>
      </x:c>
      <x:c r="AL75" s="5"/>
      <x:c r="AM75" s="5"/>
      <x:c r="AN75" s="5"/>
      <x:c r="AO75" s="2" t="str">
        <x:v>C95</x:v>
      </x:c>
      <x:c r="AP75" s="2" t="n">
        <x:v>1</x:v>
      </x:c>
    </x:row>
    <x:row r="76" ht="26" customHeight="1">
      <x:c r="A76" s="2" t="n">
        <x:v>96</x:v>
      </x:c>
      <x:c r="B76" s="4" t="n">
        <x:v>46273</x:v>
      </x:c>
      <x:c r="C76" s="10" t="n">
        <x:v>46273.88553240741</x:v>
      </x:c>
      <x:c r="D76" s="2" t="str">
        <x:v>铜</x:v>
      </x:c>
      <x:c r="E76" s="2" t="str">
        <x:v>CU2610</x:v>
      </x:c>
      <x:c r="F76" s="2" t="str">
        <x:v>苏冰</x:v>
      </x:c>
      <x:c r="G76" s="2" t="str">
        <x:v>15m</x:v>
      </x:c>
      <x:c r="H76" s="2" t="str">
        <x:v>多头</x:v>
      </x:c>
      <x:c r="I76" s="2" t="n">
        <x:v>1</x:v>
      </x:c>
      <x:c r="J76" s="10" t="n">
        <x:v>46273.885416666664</x:v>
      </x:c>
      <x:c r="K76" s="11"/>
      <x:c r="L76" s="10" t="n">
        <x:v>46273.88611111111</x:v>
      </x:c>
      <x:c r="M76" s="11"/>
      <x:c r="N76" s="11"/>
      <x:c r="O76" s="5" t="str">
        <x:f>IF(N76="","",I76*(N76/M76-1))</x:f>
      </x:c>
      <x:c r="P76" s="11"/>
      <x:c r="Q76" s="5" t="str">
        <x:f>IF(P76="","",I76*(P76/M76-1))</x:f>
      </x:c>
      <x:c r="R76" s="11"/>
      <x:c r="S76" s="5" t="str">
        <x:f>IF(R76="","",I76*(R76/M76-1))</x:f>
      </x:c>
      <x:c r="T76" s="2" t="str">
        <x:f>IF(R76="",AK76,IF(S76&gt;0,"有利",IF(S76&lt;0,"不利","持平")))</x:f>
        <x:v>数据不足</x:v>
      </x:c>
      <x:c r="U76" s="5"/>
      <x:c r="V76" s="5"/>
      <x:c r="W76" s="2" t="str">
        <x:v>本次未复算；前次：前次复算一致，本次未重算</x:v>
      </x:c>
      <x:c r="X76" s="2" t="str">
        <x:v>逐条结果未留存</x:v>
      </x:c>
      <x:c r="Y76" s="10"/>
      <x:c r="Z76" s="10"/>
      <x:c r="AA76" s="10"/>
      <x:c r="AB76" s="12" t="n">
        <x:v>10.596744</x:v>
      </x:c>
      <x:c r="AC76" s="2" t="str">
        <x:v>subing_ths_alert_15m_v1</x:v>
      </x:c>
      <x:c r="AD76" s="5"/>
      <x:c r="AE76" s="5"/>
      <x:c r="AF76" s="5"/>
      <x:c r="AG76" s="2" t="str">
        <x:v>此前已有</x:v>
      </x:c>
      <x:c r="AH76" s="4" t="n">
        <x:v>46274</x:v>
      </x:c>
      <x:c r="AI76" s="2" t="str">
        <x:v>数据不足</x:v>
      </x:c>
      <x:c r="AJ76" s="2" t="str">
        <x:v>数据不足</x:v>
      </x:c>
      <x:c r="AK76" s="2" t="str">
        <x:v>数据不足</x:v>
      </x:c>
      <x:c r="AL76" s="5"/>
      <x:c r="AM76" s="5"/>
      <x:c r="AN76" s="5"/>
      <x:c r="AO76" s="2" t="str">
        <x:v>C96</x:v>
      </x:c>
      <x:c r="AP76" s="2" t="n">
        <x:v>1</x:v>
      </x:c>
    </x:row>
    <x:row r="77" ht="26" customHeight="1">
      <x:c r="A77" s="2" t="n">
        <x:v>97</x:v>
      </x:c>
      <x:c r="B77" s="4" t="n">
        <x:v>46273</x:v>
      </x:c>
      <x:c r="C77" s="10" t="n">
        <x:v>46273.88555555556</x:v>
      </x:c>
      <x:c r="D77" s="2" t="str">
        <x:v>锡</x:v>
      </x:c>
      <x:c r="E77" s="2" t="str">
        <x:v>SN2610</x:v>
      </x:c>
      <x:c r="F77" s="2" t="str">
        <x:v>苏冰</x:v>
      </x:c>
      <x:c r="G77" s="2" t="str">
        <x:v>15m</x:v>
      </x:c>
      <x:c r="H77" s="2" t="str">
        <x:v>多头</x:v>
      </x:c>
      <x:c r="I77" s="2" t="n">
        <x:v>1</x:v>
      </x:c>
      <x:c r="J77" s="10" t="n">
        <x:v>46273.885416666664</x:v>
      </x:c>
      <x:c r="K77" s="11"/>
      <x:c r="L77" s="10" t="n">
        <x:v>46273.88611111111</x:v>
      </x:c>
      <x:c r="M77" s="11"/>
      <x:c r="N77" s="11"/>
      <x:c r="O77" s="5" t="str">
        <x:f>IF(N77="","",I77*(N77/M77-1))</x:f>
      </x:c>
      <x:c r="P77" s="11"/>
      <x:c r="Q77" s="5" t="str">
        <x:f>IF(P77="","",I77*(P77/M77-1))</x:f>
      </x:c>
      <x:c r="R77" s="11"/>
      <x:c r="S77" s="5" t="str">
        <x:f>IF(R77="","",I77*(R77/M77-1))</x:f>
      </x:c>
      <x:c r="T77" s="2" t="str">
        <x:f>IF(R77="",AK77,IF(S77&gt;0,"有利",IF(S77&lt;0,"不利","持平")))</x:f>
        <x:v>数据不足</x:v>
      </x:c>
      <x:c r="U77" s="5"/>
      <x:c r="V77" s="5"/>
      <x:c r="W77" s="2" t="str">
        <x:v>本次未复算；前次：前次复算一致，本次未重算</x:v>
      </x:c>
      <x:c r="X77" s="2" t="str">
        <x:v>逐条结果未留存</x:v>
      </x:c>
      <x:c r="Y77" s="10"/>
      <x:c r="Z77" s="10"/>
      <x:c r="AA77" s="10"/>
      <x:c r="AB77" s="12" t="n">
        <x:v>12.607303</x:v>
      </x:c>
      <x:c r="AC77" s="2" t="str">
        <x:v>subing_ths_alert_15m_v1</x:v>
      </x:c>
      <x:c r="AD77" s="5"/>
      <x:c r="AE77" s="5"/>
      <x:c r="AF77" s="5"/>
      <x:c r="AG77" s="2" t="str">
        <x:v>此前已有</x:v>
      </x:c>
      <x:c r="AH77" s="4" t="n">
        <x:v>46274</x:v>
      </x:c>
      <x:c r="AI77" s="2" t="str">
        <x:v>数据不足</x:v>
      </x:c>
      <x:c r="AJ77" s="2" t="str">
        <x:v>数据不足</x:v>
      </x:c>
      <x:c r="AK77" s="2" t="str">
        <x:v>数据不足</x:v>
      </x:c>
      <x:c r="AL77" s="5"/>
      <x:c r="AM77" s="5"/>
      <x:c r="AN77" s="5"/>
      <x:c r="AO77" s="2" t="str">
        <x:v>C97</x:v>
      </x:c>
      <x:c r="AP77" s="2" t="n">
        <x:v>1</x:v>
      </x:c>
    </x:row>
    <x:row r="78" ht="26" customHeight="1">
      <x:c r="A78" s="2" t="n">
        <x:v>98</x:v>
      </x:c>
      <x:c r="B78" s="4" t="n">
        <x:v>46273</x:v>
      </x:c>
      <x:c r="C78" s="10" t="n">
        <x:v>46273.8855787037</x:v>
      </x:c>
      <x:c r="D78" s="2" t="str">
        <x:v>铁矿石</x:v>
      </x:c>
      <x:c r="E78" s="2" t="str">
        <x:v>I2701</x:v>
      </x:c>
      <x:c r="F78" s="2" t="str">
        <x:v>苏冰</x:v>
      </x:c>
      <x:c r="G78" s="2" t="str">
        <x:v>15m</x:v>
      </x:c>
      <x:c r="H78" s="2" t="str">
        <x:v>空头</x:v>
      </x:c>
      <x:c r="I78" s="2" t="n">
        <x:v>-1</x:v>
      </x:c>
      <x:c r="J78" s="10" t="n">
        <x:v>46273.885416666664</x:v>
      </x:c>
      <x:c r="K78" s="11"/>
      <x:c r="L78" s="10" t="n">
        <x:v>46273.88611111111</x:v>
      </x:c>
      <x:c r="M78" s="11"/>
      <x:c r="N78" s="11"/>
      <x:c r="O78" s="5" t="str">
        <x:f>IF(N78="","",I78*(N78/M78-1))</x:f>
      </x:c>
      <x:c r="P78" s="11"/>
      <x:c r="Q78" s="5" t="str">
        <x:f>IF(P78="","",I78*(P78/M78-1))</x:f>
      </x:c>
      <x:c r="R78" s="11"/>
      <x:c r="S78" s="5" t="str">
        <x:f>IF(R78="","",I78*(R78/M78-1))</x:f>
      </x:c>
      <x:c r="T78" s="2" t="str">
        <x:f>IF(R78="",AK78,IF(S78&gt;0,"有利",IF(S78&lt;0,"不利","持平")))</x:f>
        <x:v>数据不足</x:v>
      </x:c>
      <x:c r="U78" s="5"/>
      <x:c r="V78" s="5"/>
      <x:c r="W78" s="2" t="str">
        <x:v>本次未复算；前次：前次复算一致，本次未重算</x:v>
      </x:c>
      <x:c r="X78" s="2" t="str">
        <x:v>逐条结果未留存</x:v>
      </x:c>
      <x:c r="Y78" s="10"/>
      <x:c r="Z78" s="10"/>
      <x:c r="AA78" s="10"/>
      <x:c r="AB78" s="12" t="n">
        <x:v>14.980277</x:v>
      </x:c>
      <x:c r="AC78" s="2" t="str">
        <x:v>subing_ths_alert_15m_v1</x:v>
      </x:c>
      <x:c r="AD78" s="5"/>
      <x:c r="AE78" s="5"/>
      <x:c r="AF78" s="5"/>
      <x:c r="AG78" s="2" t="str">
        <x:v>此前已有</x:v>
      </x:c>
      <x:c r="AH78" s="4" t="n">
        <x:v>46274</x:v>
      </x:c>
      <x:c r="AI78" s="2" t="str">
        <x:v>数据不足</x:v>
      </x:c>
      <x:c r="AJ78" s="2" t="str">
        <x:v>数据不足</x:v>
      </x:c>
      <x:c r="AK78" s="2" t="str">
        <x:v>数据不足</x:v>
      </x:c>
      <x:c r="AL78" s="5"/>
      <x:c r="AM78" s="5"/>
      <x:c r="AN78" s="5"/>
      <x:c r="AO78" s="2" t="str">
        <x:v>C98</x:v>
      </x:c>
      <x:c r="AP78" s="2" t="n">
        <x:v>1</x:v>
      </x:c>
    </x:row>
    <x:row r="79" ht="26" customHeight="1">
      <x:c r="A79" s="2" t="n">
        <x:v>99</x:v>
      </x:c>
      <x:c r="B79" s="4" t="n">
        <x:v>46273</x:v>
      </x:c>
      <x:c r="C79" s="10" t="n">
        <x:v>46273.88559027778</x:v>
      </x:c>
      <x:c r="D79" s="2" t="str">
        <x:v>焦煤</x:v>
      </x:c>
      <x:c r="E79" s="2" t="str">
        <x:v>JM2701</x:v>
      </x:c>
      <x:c r="F79" s="2" t="str">
        <x:v>火天大有</x:v>
      </x:c>
      <x:c r="G79" s="2" t="str">
        <x:v>15m</x:v>
      </x:c>
      <x:c r="H79" s="2" t="str">
        <x:v>空头</x:v>
      </x:c>
      <x:c r="I79" s="2" t="n">
        <x:v>-1</x:v>
      </x:c>
      <x:c r="J79" s="10" t="n">
        <x:v>46273.885416666664</x:v>
      </x:c>
      <x:c r="K79" s="11"/>
      <x:c r="L79" s="10" t="n">
        <x:v>46273.88611111111</x:v>
      </x:c>
      <x:c r="M79" s="11"/>
      <x:c r="N79" s="11"/>
      <x:c r="O79" s="5" t="str">
        <x:f>IF(N79="","",I79*(N79/M79-1))</x:f>
      </x:c>
      <x:c r="P79" s="11"/>
      <x:c r="Q79" s="5" t="str">
        <x:f>IF(P79="","",I79*(P79/M79-1))</x:f>
      </x:c>
      <x:c r="R79" s="11"/>
      <x:c r="S79" s="5" t="str">
        <x:f>IF(R79="","",I79*(R79/M79-1))</x:f>
      </x:c>
      <x:c r="T79" s="2" t="str">
        <x:f>IF(R79="",AK79,IF(S79&gt;0,"有利",IF(S79&lt;0,"不利","持平")))</x:f>
        <x:v>数据不足</x:v>
      </x:c>
      <x:c r="U79" s="5"/>
      <x:c r="V79" s="5"/>
      <x:c r="W79" s="2" t="str">
        <x:v>本次未复算；前次：公式复算数据不足</x:v>
      </x:c>
      <x:c r="X79" s="2" t="str">
        <x:v>逐条结果未留存</x:v>
      </x:c>
      <x:c r="Y79" s="10"/>
      <x:c r="Z79" s="10"/>
      <x:c r="AA79" s="10"/>
      <x:c r="AB79" s="12" t="n">
        <x:v>15.443672</x:v>
      </x:c>
      <x:c r="AC79" s="2" t="str">
        <x:v>htdy_original_15m</x:v>
      </x:c>
      <x:c r="AD79" s="5"/>
      <x:c r="AE79" s="5"/>
      <x:c r="AF79" s="5"/>
      <x:c r="AG79" s="2" t="str">
        <x:v>此前已有</x:v>
      </x:c>
      <x:c r="AH79" s="4" t="n">
        <x:v>46274</x:v>
      </x:c>
      <x:c r="AI79" s="2" t="str">
        <x:v>数据不足</x:v>
      </x:c>
      <x:c r="AJ79" s="2" t="str">
        <x:v>数据不足</x:v>
      </x:c>
      <x:c r="AK79" s="2" t="str">
        <x:v>数据不足</x:v>
      </x:c>
      <x:c r="AL79" s="5"/>
      <x:c r="AM79" s="5"/>
      <x:c r="AN79" s="5"/>
      <x:c r="AO79" s="2" t="str">
        <x:v>C99</x:v>
      </x:c>
      <x:c r="AP79" s="2" t="n">
        <x:v>1</x:v>
      </x:c>
    </x:row>
    <x:row r="80" ht="26" customHeight="1">
      <x:c r="A80" s="2" t="n">
        <x:v>100</x:v>
      </x:c>
      <x:c r="B80" s="4" t="n">
        <x:v>46273</x:v>
      </x:c>
      <x:c r="C80" s="10" t="n">
        <x:v>46273.895902777775</x:v>
      </x:c>
      <x:c r="D80" s="2" t="str">
        <x:v>铝</x:v>
      </x:c>
      <x:c r="E80" s="2" t="str">
        <x:v>AL2610</x:v>
      </x:c>
      <x:c r="F80" s="2" t="str">
        <x:v>苏冰</x:v>
      </x:c>
      <x:c r="G80" s="2" t="str">
        <x:v>15m</x:v>
      </x:c>
      <x:c r="H80" s="2" t="str">
        <x:v>多头</x:v>
      </x:c>
      <x:c r="I80" s="2" t="n">
        <x:v>1</x:v>
      </x:c>
      <x:c r="J80" s="10" t="n">
        <x:v>46273.895833333336</x:v>
      </x:c>
      <x:c r="K80" s="11"/>
      <x:c r="L80" s="10" t="n">
        <x:v>46273.896527777775</x:v>
      </x:c>
      <x:c r="M80" s="11"/>
      <x:c r="N80" s="11"/>
      <x:c r="O80" s="5" t="str">
        <x:f>IF(N80="","",I80*(N80/M80-1))</x:f>
      </x:c>
      <x:c r="P80" s="11"/>
      <x:c r="Q80" s="5" t="str">
        <x:f>IF(P80="","",I80*(P80/M80-1))</x:f>
      </x:c>
      <x:c r="R80" s="11"/>
      <x:c r="S80" s="5" t="str">
        <x:f>IF(R80="","",I80*(R80/M80-1))</x:f>
      </x:c>
      <x:c r="T80" s="2" t="str">
        <x:f>IF(R80="",AK80,IF(S80&gt;0,"有利",IF(S80&lt;0,"不利","持平")))</x:f>
        <x:v>数据不足</x:v>
      </x:c>
      <x:c r="U80" s="5"/>
      <x:c r="V80" s="5"/>
      <x:c r="W80" s="2" t="str">
        <x:v>本次未复算；前次：前次复算一致，本次未重算</x:v>
      </x:c>
      <x:c r="X80" s="2" t="str">
        <x:v>逐条结果未留存</x:v>
      </x:c>
      <x:c r="Y80" s="10"/>
      <x:c r="Z80" s="10"/>
      <x:c r="AA80" s="10"/>
      <x:c r="AB80" s="12" t="n">
        <x:v>6.096882</x:v>
      </x:c>
      <x:c r="AC80" s="2" t="str">
        <x:v>subing_ths_alert_15m_v1</x:v>
      </x:c>
      <x:c r="AD80" s="5"/>
      <x:c r="AE80" s="5"/>
      <x:c r="AF80" s="5"/>
      <x:c r="AG80" s="2" t="str">
        <x:v>此前已有</x:v>
      </x:c>
      <x:c r="AH80" s="4" t="n">
        <x:v>46274</x:v>
      </x:c>
      <x:c r="AI80" s="2" t="str">
        <x:v>数据不足</x:v>
      </x:c>
      <x:c r="AJ80" s="2" t="str">
        <x:v>数据不足</x:v>
      </x:c>
      <x:c r="AK80" s="2" t="str">
        <x:v>数据不足</x:v>
      </x:c>
      <x:c r="AL80" s="5"/>
      <x:c r="AM80" s="5"/>
      <x:c r="AN80" s="5"/>
      <x:c r="AO80" s="2" t="str">
        <x:v>C100</x:v>
      </x:c>
      <x:c r="AP80" s="2" t="n">
        <x:v>1</x:v>
      </x:c>
    </x:row>
    <x:row r="81" ht="26" customHeight="1">
      <x:c r="A81" s="2" t="n">
        <x:v>101</x:v>
      </x:c>
      <x:c r="B81" s="4" t="n">
        <x:v>46273</x:v>
      </x:c>
      <x:c r="C81" s="10" t="n">
        <x:v>46273.895902777775</x:v>
      </x:c>
      <x:c r="D81" s="2" t="str">
        <x:v>燃料油</x:v>
      </x:c>
      <x:c r="E81" s="2" t="str">
        <x:v>FU2611</x:v>
      </x:c>
      <x:c r="F81" s="2" t="str">
        <x:v>苏冰</x:v>
      </x:c>
      <x:c r="G81" s="2" t="str">
        <x:v>15m</x:v>
      </x:c>
      <x:c r="H81" s="2" t="str">
        <x:v>空头</x:v>
      </x:c>
      <x:c r="I81" s="2" t="n">
        <x:v>-1</x:v>
      </x:c>
      <x:c r="J81" s="10" t="n">
        <x:v>46273.895833333336</x:v>
      </x:c>
      <x:c r="K81" s="11"/>
      <x:c r="L81" s="10" t="n">
        <x:v>46273.896527777775</x:v>
      </x:c>
      <x:c r="M81" s="11"/>
      <x:c r="N81" s="11"/>
      <x:c r="O81" s="5" t="str">
        <x:f>IF(N81="","",I81*(N81/M81-1))</x:f>
      </x:c>
      <x:c r="P81" s="11"/>
      <x:c r="Q81" s="5" t="str">
        <x:f>IF(P81="","",I81*(P81/M81-1))</x:f>
      </x:c>
      <x:c r="R81" s="11"/>
      <x:c r="S81" s="5" t="str">
        <x:f>IF(R81="","",I81*(R81/M81-1))</x:f>
      </x:c>
      <x:c r="T81" s="2" t="str">
        <x:f>IF(R81="",AK81,IF(S81&gt;0,"有利",IF(S81&lt;0,"不利","持平")))</x:f>
        <x:v>数据不足</x:v>
      </x:c>
      <x:c r="U81" s="5"/>
      <x:c r="V81" s="5"/>
      <x:c r="W81" s="2" t="str">
        <x:v>本次未复算；前次：前次复算一致，本次未重算</x:v>
      </x:c>
      <x:c r="X81" s="2" t="str">
        <x:v>逐条结果未留存</x:v>
      </x:c>
      <x:c r="Y81" s="10"/>
      <x:c r="Z81" s="10"/>
      <x:c r="AA81" s="10"/>
      <x:c r="AB81" s="12" t="n">
        <x:v>6.940392</x:v>
      </x:c>
      <x:c r="AC81" s="2" t="str">
        <x:v>subing_ths_alert_15m_v1</x:v>
      </x:c>
      <x:c r="AD81" s="5"/>
      <x:c r="AE81" s="5"/>
      <x:c r="AF81" s="5"/>
      <x:c r="AG81" s="2" t="str">
        <x:v>此前已有</x:v>
      </x:c>
      <x:c r="AH81" s="4" t="n">
        <x:v>46274</x:v>
      </x:c>
      <x:c r="AI81" s="2" t="str">
        <x:v>数据不足</x:v>
      </x:c>
      <x:c r="AJ81" s="2" t="str">
        <x:v>数据不足</x:v>
      </x:c>
      <x:c r="AK81" s="2" t="str">
        <x:v>数据不足</x:v>
      </x:c>
      <x:c r="AL81" s="5"/>
      <x:c r="AM81" s="5"/>
      <x:c r="AN81" s="5"/>
      <x:c r="AO81" s="2" t="str">
        <x:v>C101</x:v>
      </x:c>
      <x:c r="AP81" s="2" t="n">
        <x:v>1</x:v>
      </x:c>
    </x:row>
    <x:row r="82" ht="26" customHeight="1">
      <x:c r="A82" s="2" t="n">
        <x:v>102</x:v>
      </x:c>
      <x:c r="B82" s="4" t="n">
        <x:v>46273</x:v>
      </x:c>
      <x:c r="C82" s="10" t="n">
        <x:v>46273.89591435185</x:v>
      </x:c>
      <x:c r="D82" s="2" t="str">
        <x:v>热轧卷板</x:v>
      </x:c>
      <x:c r="E82" s="2" t="str">
        <x:v>HC2701</x:v>
      </x:c>
      <x:c r="F82" s="2" t="str">
        <x:v>苏冰</x:v>
      </x:c>
      <x:c r="G82" s="2" t="str">
        <x:v>15m</x:v>
      </x:c>
      <x:c r="H82" s="2" t="str">
        <x:v>空头</x:v>
      </x:c>
      <x:c r="I82" s="2" t="n">
        <x:v>-1</x:v>
      </x:c>
      <x:c r="J82" s="10" t="n">
        <x:v>46273.895833333336</x:v>
      </x:c>
      <x:c r="K82" s="11"/>
      <x:c r="L82" s="10" t="n">
        <x:v>46273.896527777775</x:v>
      </x:c>
      <x:c r="M82" s="11"/>
      <x:c r="N82" s="11"/>
      <x:c r="O82" s="5" t="str">
        <x:f>IF(N82="","",I82*(N82/M82-1))</x:f>
      </x:c>
      <x:c r="P82" s="11"/>
      <x:c r="Q82" s="5" t="str">
        <x:f>IF(P82="","",I82*(P82/M82-1))</x:f>
      </x:c>
      <x:c r="R82" s="11"/>
      <x:c r="S82" s="5" t="str">
        <x:f>IF(R82="","",I82*(R82/M82-1))</x:f>
      </x:c>
      <x:c r="T82" s="2" t="str">
        <x:f>IF(R82="",AK82,IF(S82&gt;0,"有利",IF(S82&lt;0,"不利","持平")))</x:f>
        <x:v>数据不足</x:v>
      </x:c>
      <x:c r="U82" s="5"/>
      <x:c r="V82" s="5"/>
      <x:c r="W82" s="2" t="str">
        <x:v>本次未复算；前次：前次复算一致，本次未重算</x:v>
      </x:c>
      <x:c r="X82" s="2" t="str">
        <x:v>逐条结果未留存</x:v>
      </x:c>
      <x:c r="Y82" s="10"/>
      <x:c r="Z82" s="10"/>
      <x:c r="AA82" s="10"/>
      <x:c r="AB82" s="12" t="n">
        <x:v>7.105067</x:v>
      </x:c>
      <x:c r="AC82" s="2" t="str">
        <x:v>subing_ths_alert_15m_v1</x:v>
      </x:c>
      <x:c r="AD82" s="5"/>
      <x:c r="AE82" s="5"/>
      <x:c r="AF82" s="5"/>
      <x:c r="AG82" s="2" t="str">
        <x:v>此前已有</x:v>
      </x:c>
      <x:c r="AH82" s="4" t="n">
        <x:v>46274</x:v>
      </x:c>
      <x:c r="AI82" s="2" t="str">
        <x:v>数据不足</x:v>
      </x:c>
      <x:c r="AJ82" s="2" t="str">
        <x:v>数据不足</x:v>
      </x:c>
      <x:c r="AK82" s="2" t="str">
        <x:v>数据不足</x:v>
      </x:c>
      <x:c r="AL82" s="5"/>
      <x:c r="AM82" s="5"/>
      <x:c r="AN82" s="5"/>
      <x:c r="AO82" s="2" t="str">
        <x:v>C102</x:v>
      </x:c>
      <x:c r="AP82" s="2" t="n">
        <x:v>1</x:v>
      </x:c>
    </x:row>
    <x:row r="83" ht="26" customHeight="1">
      <x:c r="A83" s="2" t="n">
        <x:v>103</x:v>
      </x:c>
      <x:c r="B83" s="4" t="n">
        <x:v>46273</x:v>
      </x:c>
      <x:c r="C83" s="10" t="n">
        <x:v>46273.89591435185</x:v>
      </x:c>
      <x:c r="D83" s="2" t="str">
        <x:v>螺纹钢</x:v>
      </x:c>
      <x:c r="E83" s="2" t="str">
        <x:v>RB2701</x:v>
      </x:c>
      <x:c r="F83" s="2" t="str">
        <x:v>苏冰</x:v>
      </x:c>
      <x:c r="G83" s="2" t="str">
        <x:v>15m</x:v>
      </x:c>
      <x:c r="H83" s="2" t="str">
        <x:v>空头</x:v>
      </x:c>
      <x:c r="I83" s="2" t="n">
        <x:v>-1</x:v>
      </x:c>
      <x:c r="J83" s="10" t="n">
        <x:v>46273.895833333336</x:v>
      </x:c>
      <x:c r="K83" s="11"/>
      <x:c r="L83" s="10" t="n">
        <x:v>46273.896527777775</x:v>
      </x:c>
      <x:c r="M83" s="11"/>
      <x:c r="N83" s="11"/>
      <x:c r="O83" s="5" t="str">
        <x:f>IF(N83="","",I83*(N83/M83-1))</x:f>
      </x:c>
      <x:c r="P83" s="11"/>
      <x:c r="Q83" s="5" t="str">
        <x:f>IF(P83="","",I83*(P83/M83-1))</x:f>
      </x:c>
      <x:c r="R83" s="11"/>
      <x:c r="S83" s="5" t="str">
        <x:f>IF(R83="","",I83*(R83/M83-1))</x:f>
      </x:c>
      <x:c r="T83" s="2" t="str">
        <x:f>IF(R83="",AK83,IF(S83&gt;0,"有利",IF(S83&lt;0,"不利","持平")))</x:f>
        <x:v>数据不足</x:v>
      </x:c>
      <x:c r="U83" s="5"/>
      <x:c r="V83" s="5"/>
      <x:c r="W83" s="2" t="str">
        <x:v>本次未复算；前次：前次复算一致，本次未重算</x:v>
      </x:c>
      <x:c r="X83" s="2" t="str">
        <x:v>逐条结果未留存</x:v>
      </x:c>
      <x:c r="Y83" s="10"/>
      <x:c r="Z83" s="10"/>
      <x:c r="AA83" s="10"/>
      <x:c r="AB83" s="12" t="n">
        <x:v>7.525928</x:v>
      </x:c>
      <x:c r="AC83" s="2" t="str">
        <x:v>subing_ths_alert_15m_v1</x:v>
      </x:c>
      <x:c r="AD83" s="5"/>
      <x:c r="AE83" s="5"/>
      <x:c r="AF83" s="5"/>
      <x:c r="AG83" s="2" t="str">
        <x:v>此前已有</x:v>
      </x:c>
      <x:c r="AH83" s="4" t="n">
        <x:v>46274</x:v>
      </x:c>
      <x:c r="AI83" s="2" t="str">
        <x:v>数据不足</x:v>
      </x:c>
      <x:c r="AJ83" s="2" t="str">
        <x:v>数据不足</x:v>
      </x:c>
      <x:c r="AK83" s="2" t="str">
        <x:v>数据不足</x:v>
      </x:c>
      <x:c r="AL83" s="5"/>
      <x:c r="AM83" s="5"/>
      <x:c r="AN83" s="5"/>
      <x:c r="AO83" s="2" t="str">
        <x:v>C103</x:v>
      </x:c>
      <x:c r="AP83" s="2" t="n">
        <x:v>1</x:v>
      </x:c>
    </x:row>
    <x:row r="84" ht="26" customHeight="1">
      <x:c r="A84" s="2" t="n">
        <x:v>104</x:v>
      </x:c>
      <x:c r="B84" s="4" t="n">
        <x:v>46273</x:v>
      </x:c>
      <x:c r="C84" s="10" t="n">
        <x:v>46273.89592592593</x:v>
      </x:c>
      <x:c r="D84" s="2" t="str">
        <x:v>聚乙烯</x:v>
      </x:c>
      <x:c r="E84" s="2" t="str">
        <x:v>L2701</x:v>
      </x:c>
      <x:c r="F84" s="2" t="str">
        <x:v>苏冰</x:v>
      </x:c>
      <x:c r="G84" s="2" t="str">
        <x:v>15m</x:v>
      </x:c>
      <x:c r="H84" s="2" t="str">
        <x:v>空头</x:v>
      </x:c>
      <x:c r="I84" s="2" t="n">
        <x:v>-1</x:v>
      </x:c>
      <x:c r="J84" s="10" t="n">
        <x:v>46273.895833333336</x:v>
      </x:c>
      <x:c r="K84" s="11"/>
      <x:c r="L84" s="10" t="n">
        <x:v>46273.896527777775</x:v>
      </x:c>
      <x:c r="M84" s="11"/>
      <x:c r="N84" s="11"/>
      <x:c r="O84" s="5" t="str">
        <x:f>IF(N84="","",I84*(N84/M84-1))</x:f>
      </x:c>
      <x:c r="P84" s="11"/>
      <x:c r="Q84" s="5" t="str">
        <x:f>IF(P84="","",I84*(P84/M84-1))</x:f>
      </x:c>
      <x:c r="R84" s="11"/>
      <x:c r="S84" s="5" t="str">
        <x:f>IF(R84="","",I84*(R84/M84-1))</x:f>
      </x:c>
      <x:c r="T84" s="2" t="str">
        <x:f>IF(R84="",AK84,IF(S84&gt;0,"有利",IF(S84&lt;0,"不利","持平")))</x:f>
        <x:v>数据不足</x:v>
      </x:c>
      <x:c r="U84" s="5"/>
      <x:c r="V84" s="5"/>
      <x:c r="W84" s="2" t="str">
        <x:v>本次未复算；前次：前次复算一致，本次未重算</x:v>
      </x:c>
      <x:c r="X84" s="2" t="str">
        <x:v>逐条结果未留存</x:v>
      </x:c>
      <x:c r="Y84" s="10"/>
      <x:c r="Z84" s="10"/>
      <x:c r="AA84" s="10"/>
      <x:c r="AB84" s="12" t="n">
        <x:v>8.894939</x:v>
      </x:c>
      <x:c r="AC84" s="2" t="str">
        <x:v>subing_ths_alert_15m_v1</x:v>
      </x:c>
      <x:c r="AD84" s="5"/>
      <x:c r="AE84" s="5"/>
      <x:c r="AF84" s="5"/>
      <x:c r="AG84" s="2" t="str">
        <x:v>此前已有</x:v>
      </x:c>
      <x:c r="AH84" s="4" t="n">
        <x:v>46274</x:v>
      </x:c>
      <x:c r="AI84" s="2" t="str">
        <x:v>数据不足</x:v>
      </x:c>
      <x:c r="AJ84" s="2" t="str">
        <x:v>数据不足</x:v>
      </x:c>
      <x:c r="AK84" s="2" t="str">
        <x:v>数据不足</x:v>
      </x:c>
      <x:c r="AL84" s="5"/>
      <x:c r="AM84" s="5"/>
      <x:c r="AN84" s="5"/>
      <x:c r="AO84" s="2" t="str">
        <x:v>C104</x:v>
      </x:c>
      <x:c r="AP84" s="2" t="n">
        <x:v>1</x:v>
      </x:c>
    </x:row>
    <x:row r="85" ht="26" customHeight="1">
      <x:c r="A85" s="2" t="n">
        <x:v>105</x:v>
      </x:c>
      <x:c r="B85" s="4" t="n">
        <x:v>46273</x:v>
      </x:c>
      <x:c r="C85" s="10" t="n">
        <x:v>46273.8959375</x:v>
      </x:c>
      <x:c r="D85" s="2" t="str">
        <x:v>pvc</x:v>
      </x:c>
      <x:c r="E85" s="2" t="str">
        <x:v>V2701</x:v>
      </x:c>
      <x:c r="F85" s="2" t="str">
        <x:v>苏冰</x:v>
      </x:c>
      <x:c r="G85" s="2" t="str">
        <x:v>15m</x:v>
      </x:c>
      <x:c r="H85" s="2" t="str">
        <x:v>空头</x:v>
      </x:c>
      <x:c r="I85" s="2" t="n">
        <x:v>-1</x:v>
      </x:c>
      <x:c r="J85" s="10" t="n">
        <x:v>46273.895833333336</x:v>
      </x:c>
      <x:c r="K85" s="11"/>
      <x:c r="L85" s="10" t="n">
        <x:v>46273.896527777775</x:v>
      </x:c>
      <x:c r="M85" s="11"/>
      <x:c r="N85" s="11"/>
      <x:c r="O85" s="5" t="str">
        <x:f>IF(N85="","",I85*(N85/M85-1))</x:f>
      </x:c>
      <x:c r="P85" s="11"/>
      <x:c r="Q85" s="5" t="str">
        <x:f>IF(P85="","",I85*(P85/M85-1))</x:f>
      </x:c>
      <x:c r="R85" s="11"/>
      <x:c r="S85" s="5" t="str">
        <x:f>IF(R85="","",I85*(R85/M85-1))</x:f>
      </x:c>
      <x:c r="T85" s="2" t="str">
        <x:f>IF(R85="",AK85,IF(S85&gt;0,"有利",IF(S85&lt;0,"不利","持平")))</x:f>
        <x:v>数据不足</x:v>
      </x:c>
      <x:c r="U85" s="5"/>
      <x:c r="V85" s="5"/>
      <x:c r="W85" s="2" t="str">
        <x:v>本次未复算；前次：前次复算一致，本次未重算</x:v>
      </x:c>
      <x:c r="X85" s="2" t="str">
        <x:v>逐条结果未留存</x:v>
      </x:c>
      <x:c r="Y85" s="10"/>
      <x:c r="Z85" s="10"/>
      <x:c r="AA85" s="10"/>
      <x:c r="AB85" s="12" t="n">
        <x:v>9.539872</x:v>
      </x:c>
      <x:c r="AC85" s="2" t="str">
        <x:v>subing_ths_alert_15m_v1</x:v>
      </x:c>
      <x:c r="AD85" s="5"/>
      <x:c r="AE85" s="5"/>
      <x:c r="AF85" s="5"/>
      <x:c r="AG85" s="2" t="str">
        <x:v>此前已有</x:v>
      </x:c>
      <x:c r="AH85" s="4" t="n">
        <x:v>46274</x:v>
      </x:c>
      <x:c r="AI85" s="2" t="str">
        <x:v>数据不足</x:v>
      </x:c>
      <x:c r="AJ85" s="2" t="str">
        <x:v>数据不足</x:v>
      </x:c>
      <x:c r="AK85" s="2" t="str">
        <x:v>数据不足</x:v>
      </x:c>
      <x:c r="AL85" s="5"/>
      <x:c r="AM85" s="5"/>
      <x:c r="AN85" s="5"/>
      <x:c r="AO85" s="2" t="str">
        <x:v>C105</x:v>
      </x:c>
      <x:c r="AP85" s="2" t="n">
        <x:v>1</x:v>
      </x:c>
    </x:row>
    <x:row r="86" ht="26" customHeight="1">
      <x:c r="A86" s="2" t="n">
        <x:v>106</x:v>
      </x:c>
      <x:c r="B86" s="4" t="n">
        <x:v>46273</x:v>
      </x:c>
      <x:c r="C86" s="10" t="n">
        <x:v>46273.9062962963</x:v>
      </x:c>
      <x:c r="D86" s="2" t="str">
        <x:v>丙烯</x:v>
      </x:c>
      <x:c r="E86" s="2" t="str">
        <x:v>PR2611</x:v>
      </x:c>
      <x:c r="F86" s="2" t="str">
        <x:v>苏冰</x:v>
      </x:c>
      <x:c r="G86" s="2" t="str">
        <x:v>15m</x:v>
      </x:c>
      <x:c r="H86" s="2" t="str">
        <x:v>空头</x:v>
      </x:c>
      <x:c r="I86" s="2" t="n">
        <x:v>-1</x:v>
      </x:c>
      <x:c r="J86" s="10" t="n">
        <x:v>46273.90625</x:v>
      </x:c>
      <x:c r="K86" s="11"/>
      <x:c r="L86" s="10" t="n">
        <x:v>46273.90694444445</x:v>
      </x:c>
      <x:c r="M86" s="11"/>
      <x:c r="N86" s="11"/>
      <x:c r="O86" s="5" t="str">
        <x:f>IF(N86="","",I86*(N86/M86-1))</x:f>
      </x:c>
      <x:c r="P86" s="11"/>
      <x:c r="Q86" s="5" t="str">
        <x:f>IF(P86="","",I86*(P86/M86-1))</x:f>
      </x:c>
      <x:c r="R86" s="11"/>
      <x:c r="S86" s="5" t="str">
        <x:f>IF(R86="","",I86*(R86/M86-1))</x:f>
      </x:c>
      <x:c r="T86" s="2" t="str">
        <x:f>IF(R86="",AK86,IF(S86&gt;0,"有利",IF(S86&lt;0,"不利","持平")))</x:f>
        <x:v>数据不足</x:v>
      </x:c>
      <x:c r="U86" s="5"/>
      <x:c r="V86" s="5"/>
      <x:c r="W86" s="2" t="str">
        <x:v>本次未复算；前次：前次复算一致，本次未重算</x:v>
      </x:c>
      <x:c r="X86" s="2" t="str">
        <x:v>逐条结果未留存</x:v>
      </x:c>
      <x:c r="Y86" s="10"/>
      <x:c r="Z86" s="10"/>
      <x:c r="AA86" s="10"/>
      <x:c r="AB86" s="12" t="n">
        <x:v>4.848298</x:v>
      </x:c>
      <x:c r="AC86" s="2" t="str">
        <x:v>subing_ths_alert_15m_v1</x:v>
      </x:c>
      <x:c r="AD86" s="5"/>
      <x:c r="AE86" s="5"/>
      <x:c r="AF86" s="5"/>
      <x:c r="AG86" s="2" t="str">
        <x:v>此前已有</x:v>
      </x:c>
      <x:c r="AH86" s="4" t="n">
        <x:v>46274</x:v>
      </x:c>
      <x:c r="AI86" s="2" t="str">
        <x:v>数据不足</x:v>
      </x:c>
      <x:c r="AJ86" s="2" t="str">
        <x:v>数据不足</x:v>
      </x:c>
      <x:c r="AK86" s="2" t="str">
        <x:v>数据不足</x:v>
      </x:c>
      <x:c r="AL86" s="5"/>
      <x:c r="AM86" s="5"/>
      <x:c r="AN86" s="5"/>
      <x:c r="AO86" s="2" t="str">
        <x:v>C106</x:v>
      </x:c>
      <x:c r="AP86" s="2" t="n">
        <x:v>1</x:v>
      </x:c>
    </x:row>
    <x:row r="87" ht="26" customHeight="1">
      <x:c r="A87" s="2" t="n">
        <x:v>107</x:v>
      </x:c>
      <x:c r="B87" s="4" t="n">
        <x:v>46273</x:v>
      </x:c>
      <x:c r="C87" s="10" t="n">
        <x:v>46273.906331018516</x:v>
      </x:c>
      <x:c r="D87" s="2" t="str">
        <x:v>锡</x:v>
      </x:c>
      <x:c r="E87" s="2" t="str">
        <x:v>SN2610</x:v>
      </x:c>
      <x:c r="F87" s="2" t="str">
        <x:v>苏冰</x:v>
      </x:c>
      <x:c r="G87" s="2" t="str">
        <x:v>15m</x:v>
      </x:c>
      <x:c r="H87" s="2" t="str">
        <x:v>空头</x:v>
      </x:c>
      <x:c r="I87" s="2" t="n">
        <x:v>-1</x:v>
      </x:c>
      <x:c r="J87" s="10" t="n">
        <x:v>46273.90625</x:v>
      </x:c>
      <x:c r="K87" s="11"/>
      <x:c r="L87" s="10" t="n">
        <x:v>46273.90694444445</x:v>
      </x:c>
      <x:c r="M87" s="11"/>
      <x:c r="N87" s="11"/>
      <x:c r="O87" s="5" t="str">
        <x:f>IF(N87="","",I87*(N87/M87-1))</x:f>
      </x:c>
      <x:c r="P87" s="11"/>
      <x:c r="Q87" s="5" t="str">
        <x:f>IF(P87="","",I87*(P87/M87-1))</x:f>
      </x:c>
      <x:c r="R87" s="11"/>
      <x:c r="S87" s="5" t="str">
        <x:f>IF(R87="","",I87*(R87/M87-1))</x:f>
      </x:c>
      <x:c r="T87" s="2" t="str">
        <x:f>IF(R87="",AK87,IF(S87&gt;0,"有利",IF(S87&lt;0,"不利","持平")))</x:f>
        <x:v>数据不足</x:v>
      </x:c>
      <x:c r="U87" s="5"/>
      <x:c r="V87" s="5"/>
      <x:c r="W87" s="2" t="str">
        <x:v>本次未复算；前次：前次复算一致，本次未重算</x:v>
      </x:c>
      <x:c r="X87" s="2" t="str">
        <x:v>逐条结果未留存</x:v>
      </x:c>
      <x:c r="Y87" s="10"/>
      <x:c r="Z87" s="10"/>
      <x:c r="AA87" s="10"/>
      <x:c r="AB87" s="12" t="n">
        <x:v>7.499732</x:v>
      </x:c>
      <x:c r="AC87" s="2" t="str">
        <x:v>subing_ths_alert_15m_v1</x:v>
      </x:c>
      <x:c r="AD87" s="5"/>
      <x:c r="AE87" s="5"/>
      <x:c r="AF87" s="5"/>
      <x:c r="AG87" s="2" t="str">
        <x:v>此前已有</x:v>
      </x:c>
      <x:c r="AH87" s="4" t="n">
        <x:v>46274</x:v>
      </x:c>
      <x:c r="AI87" s="2" t="str">
        <x:v>数据不足</x:v>
      </x:c>
      <x:c r="AJ87" s="2" t="str">
        <x:v>数据不足</x:v>
      </x:c>
      <x:c r="AK87" s="2" t="str">
        <x:v>数据不足</x:v>
      </x:c>
      <x:c r="AL87" s="5"/>
      <x:c r="AM87" s="5"/>
      <x:c r="AN87" s="5"/>
      <x:c r="AO87" s="2" t="str">
        <x:v>C107</x:v>
      </x:c>
      <x:c r="AP87" s="2" t="n">
        <x:v>1</x:v>
      </x:c>
    </x:row>
    <x:row r="88" ht="26" customHeight="1">
      <x:c r="A88" s="2" t="n">
        <x:v>108</x:v>
      </x:c>
      <x:c r="B88" s="4" t="n">
        <x:v>46273</x:v>
      </x:c>
      <x:c r="C88" s="10" t="n">
        <x:v>46273.90634259259</x:v>
      </x:c>
      <x:c r="D88" s="2" t="str">
        <x:v>乙二醇</x:v>
      </x:c>
      <x:c r="E88" s="2" t="str">
        <x:v>EG2610</x:v>
      </x:c>
      <x:c r="F88" s="2" t="str">
        <x:v>苏冰</x:v>
      </x:c>
      <x:c r="G88" s="2" t="str">
        <x:v>15m</x:v>
      </x:c>
      <x:c r="H88" s="2" t="str">
        <x:v>空头</x:v>
      </x:c>
      <x:c r="I88" s="2" t="n">
        <x:v>-1</x:v>
      </x:c>
      <x:c r="J88" s="10" t="n">
        <x:v>46273.90625</x:v>
      </x:c>
      <x:c r="K88" s="11"/>
      <x:c r="L88" s="10" t="n">
        <x:v>46273.90694444445</x:v>
      </x:c>
      <x:c r="M88" s="11"/>
      <x:c r="N88" s="11"/>
      <x:c r="O88" s="5" t="str">
        <x:f>IF(N88="","",I88*(N88/M88-1))</x:f>
      </x:c>
      <x:c r="P88" s="11"/>
      <x:c r="Q88" s="5" t="str">
        <x:f>IF(P88="","",I88*(P88/M88-1))</x:f>
      </x:c>
      <x:c r="R88" s="11"/>
      <x:c r="S88" s="5" t="str">
        <x:f>IF(R88="","",I88*(R88/M88-1))</x:f>
      </x:c>
      <x:c r="T88" s="2" t="str">
        <x:f>IF(R88="",AK88,IF(S88&gt;0,"有利",IF(S88&lt;0,"不利","持平")))</x:f>
        <x:v>数据不足</x:v>
      </x:c>
      <x:c r="U88" s="5"/>
      <x:c r="V88" s="5"/>
      <x:c r="W88" s="2" t="str">
        <x:v>本次未复算；前次：前次复算一致，本次未重算</x:v>
      </x:c>
      <x:c r="X88" s="2" t="str">
        <x:v>逐条结果未留存</x:v>
      </x:c>
      <x:c r="Y88" s="10"/>
      <x:c r="Z88" s="10"/>
      <x:c r="AA88" s="10"/>
      <x:c r="AB88" s="12" t="n">
        <x:v>8.21862</x:v>
      </x:c>
      <x:c r="AC88" s="2" t="str">
        <x:v>subing_ths_alert_15m_v1</x:v>
      </x:c>
      <x:c r="AD88" s="5"/>
      <x:c r="AE88" s="5"/>
      <x:c r="AF88" s="5"/>
      <x:c r="AG88" s="2" t="str">
        <x:v>此前已有</x:v>
      </x:c>
      <x:c r="AH88" s="4" t="n">
        <x:v>46274</x:v>
      </x:c>
      <x:c r="AI88" s="2" t="str">
        <x:v>数据不足</x:v>
      </x:c>
      <x:c r="AJ88" s="2" t="str">
        <x:v>数据不足</x:v>
      </x:c>
      <x:c r="AK88" s="2" t="str">
        <x:v>数据不足</x:v>
      </x:c>
      <x:c r="AL88" s="5"/>
      <x:c r="AM88" s="5"/>
      <x:c r="AN88" s="5"/>
      <x:c r="AO88" s="2" t="str">
        <x:v>C108</x:v>
      </x:c>
      <x:c r="AP88" s="2" t="n">
        <x:v>1</x:v>
      </x:c>
    </x:row>
    <x:row r="89" ht="26" customHeight="1">
      <x:c r="A89" s="2" t="n">
        <x:v>109</x:v>
      </x:c>
      <x:c r="B89" s="4" t="n">
        <x:v>46273</x:v>
      </x:c>
      <x:c r="C89" s="10" t="n">
        <x:v>46273.91674768519</x:v>
      </x:c>
      <x:c r="D89" s="2" t="str">
        <x:v>苯乙烯</x:v>
      </x:c>
      <x:c r="E89" s="2" t="str">
        <x:v>EB2610</x:v>
      </x:c>
      <x:c r="F89" s="2" t="str">
        <x:v>苏冰</x:v>
      </x:c>
      <x:c r="G89" s="2" t="str">
        <x:v>15m</x:v>
      </x:c>
      <x:c r="H89" s="2" t="str">
        <x:v>空头</x:v>
      </x:c>
      <x:c r="I89" s="2" t="n">
        <x:v>-1</x:v>
      </x:c>
      <x:c r="J89" s="10" t="n">
        <x:v>46273.916666666664</x:v>
      </x:c>
      <x:c r="K89" s="11"/>
      <x:c r="L89" s="10" t="n">
        <x:v>46273.91736111111</x:v>
      </x:c>
      <x:c r="M89" s="11"/>
      <x:c r="N89" s="11"/>
      <x:c r="O89" s="5" t="str">
        <x:f>IF(N89="","",I89*(N89/M89-1))</x:f>
      </x:c>
      <x:c r="P89" s="11"/>
      <x:c r="Q89" s="5" t="str">
        <x:f>IF(P89="","",I89*(P89/M89-1))</x:f>
      </x:c>
      <x:c r="R89" s="11"/>
      <x:c r="S89" s="5" t="str">
        <x:f>IF(R89="","",I89*(R89/M89-1))</x:f>
      </x:c>
      <x:c r="T89" s="2" t="str">
        <x:f>IF(R89="",AK89,IF(S89&gt;0,"有利",IF(S89&lt;0,"不利","持平")))</x:f>
        <x:v>数据不足</x:v>
      </x:c>
      <x:c r="U89" s="5"/>
      <x:c r="V89" s="5"/>
      <x:c r="W89" s="2" t="str">
        <x:v>本次未复算；前次：前次复算一致，本次未重算</x:v>
      </x:c>
      <x:c r="X89" s="2" t="str">
        <x:v>逐条结果未留存</x:v>
      </x:c>
      <x:c r="Y89" s="10"/>
      <x:c r="Z89" s="10"/>
      <x:c r="AA89" s="10"/>
      <x:c r="AB89" s="12" t="n">
        <x:v>7.956428</x:v>
      </x:c>
      <x:c r="AC89" s="2" t="str">
        <x:v>subing_ths_alert_15m_v1</x:v>
      </x:c>
      <x:c r="AD89" s="5"/>
      <x:c r="AE89" s="5"/>
      <x:c r="AF89" s="5"/>
      <x:c r="AG89" s="2" t="str">
        <x:v>此前已有</x:v>
      </x:c>
      <x:c r="AH89" s="4" t="n">
        <x:v>46274</x:v>
      </x:c>
      <x:c r="AI89" s="2" t="str">
        <x:v>数据不足</x:v>
      </x:c>
      <x:c r="AJ89" s="2" t="str">
        <x:v>数据不足</x:v>
      </x:c>
      <x:c r="AK89" s="2" t="str">
        <x:v>数据不足</x:v>
      </x:c>
      <x:c r="AL89" s="5"/>
      <x:c r="AM89" s="5"/>
      <x:c r="AN89" s="5"/>
      <x:c r="AO89" s="2" t="str">
        <x:v>C109</x:v>
      </x:c>
      <x:c r="AP89" s="2" t="n">
        <x:v>1</x:v>
      </x:c>
    </x:row>
    <x:row r="90" ht="26" customHeight="1">
      <x:c r="A90" s="2" t="n">
        <x:v>110</x:v>
      </x:c>
      <x:c r="B90" s="4" t="n">
        <x:v>46273</x:v>
      </x:c>
      <x:c r="C90" s="10" t="n">
        <x:v>46273.92716435185</x:v>
      </x:c>
      <x:c r="D90" s="2" t="str">
        <x:v>玉米</x:v>
      </x:c>
      <x:c r="E90" s="2" t="str">
        <x:v>C2611</x:v>
      </x:c>
      <x:c r="F90" s="2" t="str">
        <x:v>苏冰</x:v>
      </x:c>
      <x:c r="G90" s="2" t="str">
        <x:v>15m</x:v>
      </x:c>
      <x:c r="H90" s="2" t="str">
        <x:v>空头</x:v>
      </x:c>
      <x:c r="I90" s="2" t="n">
        <x:v>-1</x:v>
      </x:c>
      <x:c r="J90" s="10" t="n">
        <x:v>46273.927083333336</x:v>
      </x:c>
      <x:c r="K90" s="11"/>
      <x:c r="L90" s="10" t="n">
        <x:v>46273.927777777775</x:v>
      </x:c>
      <x:c r="M90" s="11"/>
      <x:c r="N90" s="11"/>
      <x:c r="O90" s="5" t="str">
        <x:f>IF(N90="","",I90*(N90/M90-1))</x:f>
      </x:c>
      <x:c r="P90" s="11"/>
      <x:c r="Q90" s="5" t="str">
        <x:f>IF(P90="","",I90*(P90/M90-1))</x:f>
      </x:c>
      <x:c r="R90" s="11"/>
      <x:c r="S90" s="5" t="str">
        <x:f>IF(R90="","",I90*(R90/M90-1))</x:f>
      </x:c>
      <x:c r="T90" s="2" t="str">
        <x:f>IF(R90="",AK90,IF(S90&gt;0,"有利",IF(S90&lt;0,"不利","持平")))</x:f>
        <x:v>数据不足</x:v>
      </x:c>
      <x:c r="U90" s="5"/>
      <x:c r="V90" s="5"/>
      <x:c r="W90" s="2" t="str">
        <x:v>本次未复算；前次：前次复算一致，本次未重算</x:v>
      </x:c>
      <x:c r="X90" s="2" t="str">
        <x:v>逐条结果未留存</x:v>
      </x:c>
      <x:c r="Y90" s="10"/>
      <x:c r="Z90" s="10"/>
      <x:c r="AA90" s="10"/>
      <x:c r="AB90" s="12" t="n">
        <x:v>7.450066</x:v>
      </x:c>
      <x:c r="AC90" s="2" t="str">
        <x:v>subing_ths_alert_15m_v1</x:v>
      </x:c>
      <x:c r="AD90" s="5"/>
      <x:c r="AE90" s="5"/>
      <x:c r="AF90" s="5"/>
      <x:c r="AG90" s="2" t="str">
        <x:v>此前已有</x:v>
      </x:c>
      <x:c r="AH90" s="4" t="n">
        <x:v>46274</x:v>
      </x:c>
      <x:c r="AI90" s="2" t="str">
        <x:v>数据不足</x:v>
      </x:c>
      <x:c r="AJ90" s="2" t="str">
        <x:v>数据不足</x:v>
      </x:c>
      <x:c r="AK90" s="2" t="str">
        <x:v>数据不足</x:v>
      </x:c>
      <x:c r="AL90" s="5"/>
      <x:c r="AM90" s="5"/>
      <x:c r="AN90" s="5"/>
      <x:c r="AO90" s="2" t="str">
        <x:v>C110</x:v>
      </x:c>
      <x:c r="AP90" s="2" t="n">
        <x:v>1</x:v>
      </x:c>
    </x:row>
    <x:row r="91" ht="26" customHeight="1">
      <x:c r="A91" s="2" t="n">
        <x:v>111</x:v>
      </x:c>
      <x:c r="B91" s="4" t="n">
        <x:v>46273</x:v>
      </x:c>
      <x:c r="C91" s="10" t="n">
        <x:v>46273.93759259259</x:v>
      </x:c>
      <x:c r="D91" s="2" t="str">
        <x:v>pvc</x:v>
      </x:c>
      <x:c r="E91" s="2" t="str">
        <x:v>V2701</x:v>
      </x:c>
      <x:c r="F91" s="2" t="str">
        <x:v>苏冰</x:v>
      </x:c>
      <x:c r="G91" s="2" t="str">
        <x:v>15m</x:v>
      </x:c>
      <x:c r="H91" s="2" t="str">
        <x:v>多头</x:v>
      </x:c>
      <x:c r="I91" s="2" t="n">
        <x:v>1</x:v>
      </x:c>
      <x:c r="J91" s="10" t="n">
        <x:v>46273.9375</x:v>
      </x:c>
      <x:c r="K91" s="11"/>
      <x:c r="L91" s="10" t="n">
        <x:v>46273.93819444445</x:v>
      </x:c>
      <x:c r="M91" s="11"/>
      <x:c r="N91" s="11"/>
      <x:c r="O91" s="5" t="str">
        <x:f>IF(N91="","",I91*(N91/M91-1))</x:f>
      </x:c>
      <x:c r="P91" s="11"/>
      <x:c r="Q91" s="5" t="str">
        <x:f>IF(P91="","",I91*(P91/M91-1))</x:f>
      </x:c>
      <x:c r="R91" s="11"/>
      <x:c r="S91" s="5" t="str">
        <x:f>IF(R91="","",I91*(R91/M91-1))</x:f>
      </x:c>
      <x:c r="T91" s="2" t="str">
        <x:f>IF(R91="",AK91,IF(S91&gt;0,"有利",IF(S91&lt;0,"不利","持平")))</x:f>
        <x:v>数据不足</x:v>
      </x:c>
      <x:c r="U91" s="5"/>
      <x:c r="V91" s="5"/>
      <x:c r="W91" s="2" t="str">
        <x:v>本次未复算；前次：前次复算一致，本次未重算</x:v>
      </x:c>
      <x:c r="X91" s="2" t="str">
        <x:v>逐条结果未留存</x:v>
      </x:c>
      <x:c r="Y91" s="10"/>
      <x:c r="Z91" s="10"/>
      <x:c r="AA91" s="10"/>
      <x:c r="AB91" s="12" t="n">
        <x:v>8.975626</x:v>
      </x:c>
      <x:c r="AC91" s="2" t="str">
        <x:v>subing_ths_alert_15m_v1</x:v>
      </x:c>
      <x:c r="AD91" s="5"/>
      <x:c r="AE91" s="5"/>
      <x:c r="AF91" s="5"/>
      <x:c r="AG91" s="2" t="str">
        <x:v>此前已有</x:v>
      </x:c>
      <x:c r="AH91" s="4" t="n">
        <x:v>46274</x:v>
      </x:c>
      <x:c r="AI91" s="2" t="str">
        <x:v>数据不足</x:v>
      </x:c>
      <x:c r="AJ91" s="2" t="str">
        <x:v>数据不足</x:v>
      </x:c>
      <x:c r="AK91" s="2" t="str">
        <x:v>数据不足</x:v>
      </x:c>
      <x:c r="AL91" s="5"/>
      <x:c r="AM91" s="5"/>
      <x:c r="AN91" s="5"/>
      <x:c r="AO91" s="2" t="str">
        <x:v>C111</x:v>
      </x:c>
      <x:c r="AP91" s="2" t="n">
        <x:v>1</x:v>
      </x:c>
    </x:row>
    <x:row r="92" ht="26" customHeight="1">
      <x:c r="A92" s="2" t="n">
        <x:v>112</x:v>
      </x:c>
      <x:c r="B92" s="4" t="n">
        <x:v>46274</x:v>
      </x:c>
      <x:c r="C92" s="10" t="n">
        <x:v>46274.02086805556</x:v>
      </x:c>
      <x:c r="D92" s="2" t="str">
        <x:v>不锈钢</x:v>
      </x:c>
      <x:c r="E92" s="2" t="str">
        <x:v>SS2610</x:v>
      </x:c>
      <x:c r="F92" s="2" t="str">
        <x:v>苏冰</x:v>
      </x:c>
      <x:c r="G92" s="2" t="str">
        <x:v>15m</x:v>
      </x:c>
      <x:c r="H92" s="2" t="str">
        <x:v>空头</x:v>
      </x:c>
      <x:c r="I92" s="2" t="n">
        <x:v>-1</x:v>
      </x:c>
      <x:c r="J92" s="10" t="n">
        <x:v>46274.020833333336</x:v>
      </x:c>
      <x:c r="K92" s="11"/>
      <x:c r="L92" s="10" t="n">
        <x:v>46274.021527777775</x:v>
      </x:c>
      <x:c r="M92" s="11"/>
      <x:c r="N92" s="11"/>
      <x:c r="O92" s="5" t="str">
        <x:f>IF(N92="","",I92*(N92/M92-1))</x:f>
      </x:c>
      <x:c r="P92" s="11"/>
      <x:c r="Q92" s="5" t="str">
        <x:f>IF(P92="","",I92*(P92/M92-1))</x:f>
      </x:c>
      <x:c r="R92" s="11"/>
      <x:c r="S92" s="5" t="str">
        <x:f>IF(R92="","",I92*(R92/M92-1))</x:f>
      </x:c>
      <x:c r="T92" s="2" t="str">
        <x:f>IF(R92="",AK92,IF(S92&gt;0,"有利",IF(S92&lt;0,"不利","持平")))</x:f>
        <x:v>数据不足</x:v>
      </x:c>
      <x:c r="U92" s="5"/>
      <x:c r="V92" s="5"/>
      <x:c r="W92" s="2" t="str">
        <x:v>本次未复算；前次：前次复算一致，本次未重算</x:v>
      </x:c>
      <x:c r="X92" s="2" t="str">
        <x:v>逐条结果未留存</x:v>
      </x:c>
      <x:c r="Y92" s="10"/>
      <x:c r="Z92" s="10"/>
      <x:c r="AA92" s="10"/>
      <x:c r="AB92" s="12" t="n">
        <x:v>3.908132</x:v>
      </x:c>
      <x:c r="AC92" s="2" t="str">
        <x:v>subing_ths_alert_15m_v1</x:v>
      </x:c>
      <x:c r="AD92" s="5"/>
      <x:c r="AE92" s="5"/>
      <x:c r="AF92" s="5"/>
      <x:c r="AG92" s="2" t="str">
        <x:v>此前已有</x:v>
      </x:c>
      <x:c r="AH92" s="4" t="n">
        <x:v>46274</x:v>
      </x:c>
      <x:c r="AI92" s="2" t="str">
        <x:v>数据不足</x:v>
      </x:c>
      <x:c r="AJ92" s="2" t="str">
        <x:v>数据不足</x:v>
      </x:c>
      <x:c r="AK92" s="2" t="str">
        <x:v>数据不足</x:v>
      </x:c>
      <x:c r="AL92" s="5"/>
      <x:c r="AM92" s="5"/>
      <x:c r="AN92" s="5"/>
      <x:c r="AO92" s="2" t="str">
        <x:v>C112</x:v>
      </x:c>
      <x:c r="AP92" s="2" t="n">
        <x:v>1</x:v>
      </x:c>
    </x:row>
    <x:row r="93" ht="26" customHeight="1">
      <x:c r="A93" s="2" t="n">
        <x:v>113</x:v>
      </x:c>
      <x:c r="B93" s="4" t="n">
        <x:v>46274</x:v>
      </x:c>
      <x:c r="C93" s="10" t="n">
        <x:v>46274.07295138889</x:v>
      </x:c>
      <x:c r="D93" s="2" t="str">
        <x:v>黄金</x:v>
      </x:c>
      <x:c r="E93" s="2" t="str">
        <x:v>AU2610</x:v>
      </x:c>
      <x:c r="F93" s="2" t="str">
        <x:v>苏冰</x:v>
      </x:c>
      <x:c r="G93" s="2" t="str">
        <x:v>15m</x:v>
      </x:c>
      <x:c r="H93" s="2" t="str">
        <x:v>空头</x:v>
      </x:c>
      <x:c r="I93" s="2" t="n">
        <x:v>-1</x:v>
      </x:c>
      <x:c r="J93" s="10" t="n">
        <x:v>46274.072916666664</x:v>
      </x:c>
      <x:c r="K93" s="11"/>
      <x:c r="L93" s="10" t="n">
        <x:v>46274.07361111111</x:v>
      </x:c>
      <x:c r="M93" s="11"/>
      <x:c r="N93" s="11"/>
      <x:c r="O93" s="5" t="str">
        <x:f>IF(N93="","",I93*(N93/M93-1))</x:f>
      </x:c>
      <x:c r="P93" s="11"/>
      <x:c r="Q93" s="5" t="str">
        <x:f>IF(P93="","",I93*(P93/M93-1))</x:f>
      </x:c>
      <x:c r="R93" s="11"/>
      <x:c r="S93" s="5" t="str">
        <x:f>IF(R93="","",I93*(R93/M93-1))</x:f>
      </x:c>
      <x:c r="T93" s="2" t="str">
        <x:f>IF(R93="",AK93,IF(S93&gt;0,"有利",IF(S93&lt;0,"不利","持平")))</x:f>
        <x:v>数据不足</x:v>
      </x:c>
      <x:c r="U93" s="5"/>
      <x:c r="V93" s="5"/>
      <x:c r="W93" s="2" t="str">
        <x:v>本次未复算；前次：前次复算一致，本次未重算</x:v>
      </x:c>
      <x:c r="X93" s="2" t="str">
        <x:v>逐条结果未留存</x:v>
      </x:c>
      <x:c r="Y93" s="10"/>
      <x:c r="Z93" s="10"/>
      <x:c r="AA93" s="10"/>
      <x:c r="AB93" s="12" t="n">
        <x:v>3.47101</x:v>
      </x:c>
      <x:c r="AC93" s="2" t="str">
        <x:v>subing_ths_alert_15m_v1</x:v>
      </x:c>
      <x:c r="AD93" s="5"/>
      <x:c r="AE93" s="5"/>
      <x:c r="AF93" s="5"/>
      <x:c r="AG93" s="2" t="str">
        <x:v>此前已有</x:v>
      </x:c>
      <x:c r="AH93" s="4" t="n">
        <x:v>46274</x:v>
      </x:c>
      <x:c r="AI93" s="2" t="str">
        <x:v>数据不足</x:v>
      </x:c>
      <x:c r="AJ93" s="2" t="str">
        <x:v>数据不足</x:v>
      </x:c>
      <x:c r="AK93" s="2" t="str">
        <x:v>数据不足</x:v>
      </x:c>
      <x:c r="AL93" s="5"/>
      <x:c r="AM93" s="5"/>
      <x:c r="AN93" s="5"/>
      <x:c r="AO93" s="2" t="str">
        <x:v>C113</x:v>
      </x:c>
      <x:c r="AP93" s="2" t="n">
        <x:v>1</x:v>
      </x:c>
    </x:row>
    <x:row r="94" ht="26" customHeight="1">
      <x:c r="A94" s="2" t="n">
        <x:v>114</x:v>
      </x:c>
      <x:c r="B94" s="4" t="n">
        <x:v>46274</x:v>
      </x:c>
      <x:c r="C94" s="10" t="n">
        <x:v>46274.385462962964</x:v>
      </x:c>
      <x:c r="D94" s="2" t="str">
        <x:v>玻璃</x:v>
      </x:c>
      <x:c r="E94" s="2" t="str">
        <x:v>FG2701</x:v>
      </x:c>
      <x:c r="F94" s="2" t="str">
        <x:v>苏冰</x:v>
      </x:c>
      <x:c r="G94" s="2" t="str">
        <x:v>15m</x:v>
      </x:c>
      <x:c r="H94" s="2" t="str">
        <x:v>空头</x:v>
      </x:c>
      <x:c r="I94" s="2" t="n">
        <x:v>-1</x:v>
      </x:c>
      <x:c r="J94" s="10" t="n">
        <x:v>46274.385416666664</x:v>
      </x:c>
      <x:c r="K94" s="11"/>
      <x:c r="L94" s="10" t="n">
        <x:v>46274.38611111111</x:v>
      </x:c>
      <x:c r="M94" s="11"/>
      <x:c r="N94" s="11"/>
      <x:c r="O94" s="5" t="str">
        <x:f>IF(N94="","",I94*(N94/M94-1))</x:f>
      </x:c>
      <x:c r="P94" s="11"/>
      <x:c r="Q94" s="5" t="str">
        <x:f>IF(P94="","",I94*(P94/M94-1))</x:f>
      </x:c>
      <x:c r="R94" s="11"/>
      <x:c r="S94" s="5" t="str">
        <x:f>IF(R94="","",I94*(R94/M94-1))</x:f>
      </x:c>
      <x:c r="T94" s="2" t="str">
        <x:f>IF(R94="",AK94,IF(S94&gt;0,"有利",IF(S94&lt;0,"不利","持平")))</x:f>
        <x:v>数据不足</x:v>
      </x:c>
      <x:c r="U94" s="5"/>
      <x:c r="V94" s="5"/>
      <x:c r="W94" s="2" t="str">
        <x:v>本次未复算；前次：前次复算一致，本次未重算</x:v>
      </x:c>
      <x:c r="X94" s="2" t="str">
        <x:v>逐条结果未留存</x:v>
      </x:c>
      <x:c r="Y94" s="10"/>
      <x:c r="Z94" s="10"/>
      <x:c r="AA94" s="10"/>
      <x:c r="AB94" s="12" t="n">
        <x:v>4.87761</x:v>
      </x:c>
      <x:c r="AC94" s="2" t="str">
        <x:v>subing_ths_alert_15m_v1</x:v>
      </x:c>
      <x:c r="AD94" s="5"/>
      <x:c r="AE94" s="5"/>
      <x:c r="AF94" s="5"/>
      <x:c r="AG94" s="2" t="str">
        <x:v>此前已有</x:v>
      </x:c>
      <x:c r="AH94" s="4" t="n">
        <x:v>46274</x:v>
      </x:c>
      <x:c r="AI94" s="2" t="str">
        <x:v>数据不足</x:v>
      </x:c>
      <x:c r="AJ94" s="2" t="str">
        <x:v>数据不足</x:v>
      </x:c>
      <x:c r="AK94" s="2" t="str">
        <x:v>数据不足</x:v>
      </x:c>
      <x:c r="AL94" s="5"/>
      <x:c r="AM94" s="5"/>
      <x:c r="AN94" s="5"/>
      <x:c r="AO94" s="2" t="str">
        <x:v>C114</x:v>
      </x:c>
      <x:c r="AP94" s="2" t="n">
        <x:v>1</x:v>
      </x:c>
    </x:row>
    <x:row r="95" ht="26" customHeight="1">
      <x:c r="A95" s="2" t="n">
        <x:v>115</x:v>
      </x:c>
      <x:c r="B95" s="4" t="n">
        <x:v>46274</x:v>
      </x:c>
      <x:c r="C95" s="10" t="n">
        <x:v>46274.38550925926</x:v>
      </x:c>
      <x:c r="D95" s="2" t="str">
        <x:v>白银</x:v>
      </x:c>
      <x:c r="E95" s="2" t="str">
        <x:v>AG2610</x:v>
      </x:c>
      <x:c r="F95" s="2" t="str">
        <x:v>苏冰</x:v>
      </x:c>
      <x:c r="G95" s="2" t="str">
        <x:v>15m</x:v>
      </x:c>
      <x:c r="H95" s="2" t="str">
        <x:v>空头</x:v>
      </x:c>
      <x:c r="I95" s="2" t="n">
        <x:v>-1</x:v>
      </x:c>
      <x:c r="J95" s="10" t="n">
        <x:v>46274.385416666664</x:v>
      </x:c>
      <x:c r="K95" s="11"/>
      <x:c r="L95" s="10" t="n">
        <x:v>46274.38611111111</x:v>
      </x:c>
      <x:c r="M95" s="11"/>
      <x:c r="N95" s="11"/>
      <x:c r="O95" s="5" t="str">
        <x:f>IF(N95="","",I95*(N95/M95-1))</x:f>
      </x:c>
      <x:c r="P95" s="11"/>
      <x:c r="Q95" s="5" t="str">
        <x:f>IF(P95="","",I95*(P95/M95-1))</x:f>
      </x:c>
      <x:c r="R95" s="11"/>
      <x:c r="S95" s="5" t="str">
        <x:f>IF(R95="","",I95*(R95/M95-1))</x:f>
      </x:c>
      <x:c r="T95" s="2" t="str">
        <x:f>IF(R95="",AK95,IF(S95&gt;0,"有利",IF(S95&lt;0,"不利","持平")))</x:f>
        <x:v>数据不足</x:v>
      </x:c>
      <x:c r="U95" s="5"/>
      <x:c r="V95" s="5"/>
      <x:c r="W95" s="2" t="str">
        <x:v>本次未复算；前次：前次复算一致，本次未重算</x:v>
      </x:c>
      <x:c r="X95" s="2" t="str">
        <x:v>逐条结果未留存</x:v>
      </x:c>
      <x:c r="Y95" s="10"/>
      <x:c r="Z95" s="10"/>
      <x:c r="AA95" s="10"/>
      <x:c r="AB95" s="12" t="n">
        <x:v>8.645639</x:v>
      </x:c>
      <x:c r="AC95" s="2" t="str">
        <x:v>subing_ths_alert_15m_v1</x:v>
      </x:c>
      <x:c r="AD95" s="5"/>
      <x:c r="AE95" s="5"/>
      <x:c r="AF95" s="5"/>
      <x:c r="AG95" s="2" t="str">
        <x:v>此前已有</x:v>
      </x:c>
      <x:c r="AH95" s="4" t="n">
        <x:v>46274</x:v>
      </x:c>
      <x:c r="AI95" s="2" t="str">
        <x:v>数据不足</x:v>
      </x:c>
      <x:c r="AJ95" s="2" t="str">
        <x:v>数据不足</x:v>
      </x:c>
      <x:c r="AK95" s="2" t="str">
        <x:v>数据不足</x:v>
      </x:c>
      <x:c r="AL95" s="5"/>
      <x:c r="AM95" s="5"/>
      <x:c r="AN95" s="5"/>
      <x:c r="AO95" s="2" t="str">
        <x:v>C115</x:v>
      </x:c>
      <x:c r="AP95" s="2" t="n">
        <x:v>1</x:v>
      </x:c>
    </x:row>
    <x:row r="96" ht="26" customHeight="1">
      <x:c r="A96" s="2" t="n">
        <x:v>116</x:v>
      </x:c>
      <x:c r="B96" s="4" t="n">
        <x:v>46274</x:v>
      </x:c>
      <x:c r="C96" s="10" t="n">
        <x:v>46274.38552083333</x:v>
      </x:c>
      <x:c r="D96" s="2" t="str">
        <x:v>原油</x:v>
      </x:c>
      <x:c r="E96" s="2" t="str">
        <x:v>SC2610</x:v>
      </x:c>
      <x:c r="F96" s="2" t="str">
        <x:v>苏冰</x:v>
      </x:c>
      <x:c r="G96" s="2" t="str">
        <x:v>15m</x:v>
      </x:c>
      <x:c r="H96" s="2" t="str">
        <x:v>多头</x:v>
      </x:c>
      <x:c r="I96" s="2" t="n">
        <x:v>1</x:v>
      </x:c>
      <x:c r="J96" s="10" t="n">
        <x:v>46274.385416666664</x:v>
      </x:c>
      <x:c r="K96" s="11"/>
      <x:c r="L96" s="10" t="n">
        <x:v>46274.38611111111</x:v>
      </x:c>
      <x:c r="M96" s="11"/>
      <x:c r="N96" s="11"/>
      <x:c r="O96" s="5" t="str">
        <x:f>IF(N96="","",I96*(N96/M96-1))</x:f>
      </x:c>
      <x:c r="P96" s="11"/>
      <x:c r="Q96" s="5" t="str">
        <x:f>IF(P96="","",I96*(P96/M96-1))</x:f>
      </x:c>
      <x:c r="R96" s="11"/>
      <x:c r="S96" s="5" t="str">
        <x:f>IF(R96="","",I96*(R96/M96-1))</x:f>
      </x:c>
      <x:c r="T96" s="2" t="str">
        <x:f>IF(R96="",AK96,IF(S96&gt;0,"有利",IF(S96&lt;0,"不利","持平")))</x:f>
        <x:v>数据不足</x:v>
      </x:c>
      <x:c r="U96" s="5"/>
      <x:c r="V96" s="5"/>
      <x:c r="W96" s="2" t="str">
        <x:v>本次未复算；前次：前次复算一致，本次未重算</x:v>
      </x:c>
      <x:c r="X96" s="2" t="str">
        <x:v>逐条结果未留存</x:v>
      </x:c>
      <x:c r="Y96" s="10"/>
      <x:c r="Z96" s="10"/>
      <x:c r="AA96" s="10"/>
      <x:c r="AB96" s="12" t="n">
        <x:v>9.241188</x:v>
      </x:c>
      <x:c r="AC96" s="2" t="str">
        <x:v>subing_ths_alert_15m_v1</x:v>
      </x:c>
      <x:c r="AD96" s="5"/>
      <x:c r="AE96" s="5"/>
      <x:c r="AF96" s="5"/>
      <x:c r="AG96" s="2" t="str">
        <x:v>此前已有</x:v>
      </x:c>
      <x:c r="AH96" s="4" t="n">
        <x:v>46274</x:v>
      </x:c>
      <x:c r="AI96" s="2" t="str">
        <x:v>数据不足</x:v>
      </x:c>
      <x:c r="AJ96" s="2" t="str">
        <x:v>数据不足</x:v>
      </x:c>
      <x:c r="AK96" s="2" t="str">
        <x:v>数据不足</x:v>
      </x:c>
      <x:c r="AL96" s="5"/>
      <x:c r="AM96" s="5"/>
      <x:c r="AN96" s="5"/>
      <x:c r="AO96" s="2" t="str">
        <x:v>C116</x:v>
      </x:c>
      <x:c r="AP96" s="2" t="n">
        <x:v>1</x:v>
      </x:c>
    </x:row>
    <x:row r="97" ht="26" customHeight="1">
      <x:c r="A97" s="2" t="n">
        <x:v>117</x:v>
      </x:c>
      <x:c r="B97" s="4" t="n">
        <x:v>46274</x:v>
      </x:c>
      <x:c r="C97" s="10" t="n">
        <x:v>46274.38552083333</x:v>
      </x:c>
      <x:c r="D97" s="2" t="str">
        <x:v>铝</x:v>
      </x:c>
      <x:c r="E97" s="2" t="str">
        <x:v>AL2610</x:v>
      </x:c>
      <x:c r="F97" s="2" t="str">
        <x:v>苏冰</x:v>
      </x:c>
      <x:c r="G97" s="2" t="str">
        <x:v>15m</x:v>
      </x:c>
      <x:c r="H97" s="2" t="str">
        <x:v>空头</x:v>
      </x:c>
      <x:c r="I97" s="2" t="n">
        <x:v>-1</x:v>
      </x:c>
      <x:c r="J97" s="10" t="n">
        <x:v>46274.385416666664</x:v>
      </x:c>
      <x:c r="K97" s="11"/>
      <x:c r="L97" s="10" t="n">
        <x:v>46274.38611111111</x:v>
      </x:c>
      <x:c r="M97" s="11"/>
      <x:c r="N97" s="11"/>
      <x:c r="O97" s="5" t="str">
        <x:f>IF(N97="","",I97*(N97/M97-1))</x:f>
      </x:c>
      <x:c r="P97" s="11"/>
      <x:c r="Q97" s="5" t="str">
        <x:f>IF(P97="","",I97*(P97/M97-1))</x:f>
      </x:c>
      <x:c r="R97" s="11"/>
      <x:c r="S97" s="5" t="str">
        <x:f>IF(R97="","",I97*(R97/M97-1))</x:f>
      </x:c>
      <x:c r="T97" s="2" t="str">
        <x:f>IF(R97="",AK97,IF(S97&gt;0,"有利",IF(S97&lt;0,"不利","持平")))</x:f>
        <x:v>数据不足</x:v>
      </x:c>
      <x:c r="U97" s="5"/>
      <x:c r="V97" s="5"/>
      <x:c r="W97" s="2" t="str">
        <x:v>本次未复算；前次：前次复算一致，本次未重算</x:v>
      </x:c>
      <x:c r="X97" s="2" t="str">
        <x:v>逐条结果未留存</x:v>
      </x:c>
      <x:c r="Y97" s="10"/>
      <x:c r="Z97" s="10"/>
      <x:c r="AA97" s="10"/>
      <x:c r="AB97" s="12" t="n">
        <x:v>9.858891</x:v>
      </x:c>
      <x:c r="AC97" s="2" t="str">
        <x:v>subing_ths_alert_15m_v1</x:v>
      </x:c>
      <x:c r="AD97" s="5"/>
      <x:c r="AE97" s="5"/>
      <x:c r="AF97" s="5"/>
      <x:c r="AG97" s="2" t="str">
        <x:v>此前已有</x:v>
      </x:c>
      <x:c r="AH97" s="4" t="n">
        <x:v>46274</x:v>
      </x:c>
      <x:c r="AI97" s="2" t="str">
        <x:v>数据不足</x:v>
      </x:c>
      <x:c r="AJ97" s="2" t="str">
        <x:v>数据不足</x:v>
      </x:c>
      <x:c r="AK97" s="2" t="str">
        <x:v>数据不足</x:v>
      </x:c>
      <x:c r="AL97" s="5"/>
      <x:c r="AM97" s="5"/>
      <x:c r="AN97" s="5"/>
      <x:c r="AO97" s="2" t="str">
        <x:v>C117</x:v>
      </x:c>
      <x:c r="AP97" s="2" t="n">
        <x:v>1</x:v>
      </x:c>
    </x:row>
    <x:row r="98" ht="26" customHeight="1">
      <x:c r="A98" s="2" t="n">
        <x:v>118</x:v>
      </x:c>
      <x:c r="B98" s="4" t="n">
        <x:v>46274</x:v>
      </x:c>
      <x:c r="C98" s="10" t="n">
        <x:v>46274.38554398148</x:v>
      </x:c>
      <x:c r="D98" s="2" t="str">
        <x:v>纯苯</x:v>
      </x:c>
      <x:c r="E98" s="2" t="str">
        <x:v>BZ2610</x:v>
      </x:c>
      <x:c r="F98" s="2" t="str">
        <x:v>苏冰</x:v>
      </x:c>
      <x:c r="G98" s="2" t="str">
        <x:v>15m</x:v>
      </x:c>
      <x:c r="H98" s="2" t="str">
        <x:v>多头</x:v>
      </x:c>
      <x:c r="I98" s="2" t="n">
        <x:v>1</x:v>
      </x:c>
      <x:c r="J98" s="10" t="n">
        <x:v>46274.385416666664</x:v>
      </x:c>
      <x:c r="K98" s="11"/>
      <x:c r="L98" s="10" t="n">
        <x:v>46274.38611111111</x:v>
      </x:c>
      <x:c r="M98" s="11"/>
      <x:c r="N98" s="11"/>
      <x:c r="O98" s="5" t="str">
        <x:f>IF(N98="","",I98*(N98/M98-1))</x:f>
      </x:c>
      <x:c r="P98" s="11"/>
      <x:c r="Q98" s="5" t="str">
        <x:f>IF(P98="","",I98*(P98/M98-1))</x:f>
      </x:c>
      <x:c r="R98" s="11"/>
      <x:c r="S98" s="5" t="str">
        <x:f>IF(R98="","",I98*(R98/M98-1))</x:f>
      </x:c>
      <x:c r="T98" s="2" t="str">
        <x:f>IF(R98="",AK98,IF(S98&gt;0,"有利",IF(S98&lt;0,"不利","持平")))</x:f>
        <x:v>数据不足</x:v>
      </x:c>
      <x:c r="U98" s="5"/>
      <x:c r="V98" s="5"/>
      <x:c r="W98" s="2" t="str">
        <x:v>本次未复算；前次：前次复算一致，本次未重算</x:v>
      </x:c>
      <x:c r="X98" s="2" t="str">
        <x:v>逐条结果未留存</x:v>
      </x:c>
      <x:c r="Y98" s="10"/>
      <x:c r="Z98" s="10"/>
      <x:c r="AA98" s="10"/>
      <x:c r="AB98" s="12" t="n">
        <x:v>11.009968</x:v>
      </x:c>
      <x:c r="AC98" s="2" t="str">
        <x:v>subing_ths_alert_15m_v1</x:v>
      </x:c>
      <x:c r="AD98" s="5"/>
      <x:c r="AE98" s="5"/>
      <x:c r="AF98" s="5"/>
      <x:c r="AG98" s="2" t="str">
        <x:v>此前已有</x:v>
      </x:c>
      <x:c r="AH98" s="4" t="n">
        <x:v>46274</x:v>
      </x:c>
      <x:c r="AI98" s="2" t="str">
        <x:v>数据不足</x:v>
      </x:c>
      <x:c r="AJ98" s="2" t="str">
        <x:v>数据不足</x:v>
      </x:c>
      <x:c r="AK98" s="2" t="str">
        <x:v>数据不足</x:v>
      </x:c>
      <x:c r="AL98" s="5"/>
      <x:c r="AM98" s="5"/>
      <x:c r="AN98" s="5"/>
      <x:c r="AO98" s="2" t="str">
        <x:v>C118</x:v>
      </x:c>
      <x:c r="AP98" s="2" t="n">
        <x:v>1</x:v>
      </x:c>
    </x:row>
    <x:row r="99" ht="26" customHeight="1">
      <x:c r="A99" s="2" t="n">
        <x:v>119</x:v>
      </x:c>
      <x:c r="B99" s="4" t="n">
        <x:v>46274</x:v>
      </x:c>
      <x:c r="C99" s="10" t="n">
        <x:v>46274.38555555556</x:v>
      </x:c>
      <x:c r="D99" s="2" t="str">
        <x:v>燃料油</x:v>
      </x:c>
      <x:c r="E99" s="2" t="str">
        <x:v>FU2611</x:v>
      </x:c>
      <x:c r="F99" s="2" t="str">
        <x:v>苏冰</x:v>
      </x:c>
      <x:c r="G99" s="2" t="str">
        <x:v>15m</x:v>
      </x:c>
      <x:c r="H99" s="2" t="str">
        <x:v>多头</x:v>
      </x:c>
      <x:c r="I99" s="2" t="n">
        <x:v>1</x:v>
      </x:c>
      <x:c r="J99" s="10" t="n">
        <x:v>46274.385416666664</x:v>
      </x:c>
      <x:c r="K99" s="11"/>
      <x:c r="L99" s="10" t="n">
        <x:v>46274.38611111111</x:v>
      </x:c>
      <x:c r="M99" s="11"/>
      <x:c r="N99" s="11"/>
      <x:c r="O99" s="5" t="str">
        <x:f>IF(N99="","",I99*(N99/M99-1))</x:f>
      </x:c>
      <x:c r="P99" s="11"/>
      <x:c r="Q99" s="5" t="str">
        <x:f>IF(P99="","",I99*(P99/M99-1))</x:f>
      </x:c>
      <x:c r="R99" s="11"/>
      <x:c r="S99" s="5" t="str">
        <x:f>IF(R99="","",I99*(R99/M99-1))</x:f>
      </x:c>
      <x:c r="T99" s="2" t="str">
        <x:f>IF(R99="",AK99,IF(S99&gt;0,"有利",IF(S99&lt;0,"不利","持平")))</x:f>
        <x:v>数据不足</x:v>
      </x:c>
      <x:c r="U99" s="5"/>
      <x:c r="V99" s="5"/>
      <x:c r="W99" s="2" t="str">
        <x:v>本次未复算；前次：前次复算一致，本次未重算</x:v>
      </x:c>
      <x:c r="X99" s="2" t="str">
        <x:v>逐条结果未留存</x:v>
      </x:c>
      <x:c r="Y99" s="10"/>
      <x:c r="Z99" s="10"/>
      <x:c r="AA99" s="10"/>
      <x:c r="AB99" s="12" t="n">
        <x:v>12.171331</x:v>
      </x:c>
      <x:c r="AC99" s="2" t="str">
        <x:v>subing_ths_alert_15m_v1</x:v>
      </x:c>
      <x:c r="AD99" s="5"/>
      <x:c r="AE99" s="5"/>
      <x:c r="AF99" s="5"/>
      <x:c r="AG99" s="2" t="str">
        <x:v>此前已有</x:v>
      </x:c>
      <x:c r="AH99" s="4" t="n">
        <x:v>46274</x:v>
      </x:c>
      <x:c r="AI99" s="2" t="str">
        <x:v>数据不足</x:v>
      </x:c>
      <x:c r="AJ99" s="2" t="str">
        <x:v>数据不足</x:v>
      </x:c>
      <x:c r="AK99" s="2" t="str">
        <x:v>数据不足</x:v>
      </x:c>
      <x:c r="AL99" s="5"/>
      <x:c r="AM99" s="5"/>
      <x:c r="AN99" s="5"/>
      <x:c r="AO99" s="2" t="str">
        <x:v>C119</x:v>
      </x:c>
      <x:c r="AP99" s="2" t="n">
        <x:v>1</x:v>
      </x:c>
    </x:row>
    <x:row r="100" ht="26" customHeight="1">
      <x:c r="A100" s="2" t="n">
        <x:v>120</x:v>
      </x:c>
      <x:c r="B100" s="4" t="n">
        <x:v>46274</x:v>
      </x:c>
      <x:c r="C100" s="10" t="n">
        <x:v>46274.38559027778</x:v>
      </x:c>
      <x:c r="D100" s="2" t="str">
        <x:v>苯乙烯</x:v>
      </x:c>
      <x:c r="E100" s="2" t="str">
        <x:v>EB2610</x:v>
      </x:c>
      <x:c r="F100" s="2" t="str">
        <x:v>苏冰</x:v>
      </x:c>
      <x:c r="G100" s="2" t="str">
        <x:v>15m</x:v>
      </x:c>
      <x:c r="H100" s="2" t="str">
        <x:v>多头</x:v>
      </x:c>
      <x:c r="I100" s="2" t="n">
        <x:v>1</x:v>
      </x:c>
      <x:c r="J100" s="10" t="n">
        <x:v>46274.385416666664</x:v>
      </x:c>
      <x:c r="K100" s="11"/>
      <x:c r="L100" s="10" t="n">
        <x:v>46274.38611111111</x:v>
      </x:c>
      <x:c r="M100" s="11"/>
      <x:c r="N100" s="11"/>
      <x:c r="O100" s="5" t="str">
        <x:f>IF(N100="","",I100*(N100/M100-1))</x:f>
      </x:c>
      <x:c r="P100" s="11"/>
      <x:c r="Q100" s="5" t="str">
        <x:f>IF(P100="","",I100*(P100/M100-1))</x:f>
      </x:c>
      <x:c r="R100" s="11"/>
      <x:c r="S100" s="5" t="str">
        <x:f>IF(R100="","",I100*(R100/M100-1))</x:f>
      </x:c>
      <x:c r="T100" s="2" t="str">
        <x:f>IF(R100="",AK100,IF(S100&gt;0,"有利",IF(S100&lt;0,"不利","持平")))</x:f>
        <x:v>数据不足</x:v>
      </x:c>
      <x:c r="U100" s="5"/>
      <x:c r="V100" s="5"/>
      <x:c r="W100" s="2" t="str">
        <x:v>本次未复算；前次：前次复算一致，本次未重算</x:v>
      </x:c>
      <x:c r="X100" s="2" t="str">
        <x:v>逐条结果未留存</x:v>
      </x:c>
      <x:c r="Y100" s="10"/>
      <x:c r="Z100" s="10"/>
      <x:c r="AA100" s="10"/>
      <x:c r="AB100" s="12" t="n">
        <x:v>15.832609</x:v>
      </x:c>
      <x:c r="AC100" s="2" t="str">
        <x:v>subing_ths_alert_15m_v1</x:v>
      </x:c>
      <x:c r="AD100" s="5"/>
      <x:c r="AE100" s="5"/>
      <x:c r="AF100" s="5"/>
      <x:c r="AG100" s="2" t="str">
        <x:v>此前已有</x:v>
      </x:c>
      <x:c r="AH100" s="4" t="n">
        <x:v>46274</x:v>
      </x:c>
      <x:c r="AI100" s="2" t="str">
        <x:v>数据不足</x:v>
      </x:c>
      <x:c r="AJ100" s="2" t="str">
        <x:v>数据不足</x:v>
      </x:c>
      <x:c r="AK100" s="2" t="str">
        <x:v>数据不足</x:v>
      </x:c>
      <x:c r="AL100" s="5"/>
      <x:c r="AM100" s="5"/>
      <x:c r="AN100" s="5"/>
      <x:c r="AO100" s="2" t="str">
        <x:v>C120</x:v>
      </x:c>
      <x:c r="AP100" s="2" t="n">
        <x:v>1</x:v>
      </x:c>
    </x:row>
    <x:row r="101" ht="26" customHeight="1">
      <x:c r="A101" s="2" t="n">
        <x:v>121</x:v>
      </x:c>
      <x:c r="B101" s="4" t="n">
        <x:v>46274</x:v>
      </x:c>
      <x:c r="C101" s="10" t="n">
        <x:v>46274.385625</x:v>
      </x:c>
      <x:c r="D101" s="2" t="str">
        <x:v>聚丙烯</x:v>
      </x:c>
      <x:c r="E101" s="2" t="str">
        <x:v>PP2701</x:v>
      </x:c>
      <x:c r="F101" s="2" t="str">
        <x:v>苏冰</x:v>
      </x:c>
      <x:c r="G101" s="2" t="str">
        <x:v>15m</x:v>
      </x:c>
      <x:c r="H101" s="2" t="str">
        <x:v>多头</x:v>
      </x:c>
      <x:c r="I101" s="2" t="n">
        <x:v>1</x:v>
      </x:c>
      <x:c r="J101" s="10" t="n">
        <x:v>46274.385416666664</x:v>
      </x:c>
      <x:c r="K101" s="11"/>
      <x:c r="L101" s="10" t="n">
        <x:v>46274.38611111111</x:v>
      </x:c>
      <x:c r="M101" s="11"/>
      <x:c r="N101" s="11"/>
      <x:c r="O101" s="5" t="str">
        <x:f>IF(N101="","",I101*(N101/M101-1))</x:f>
      </x:c>
      <x:c r="P101" s="11"/>
      <x:c r="Q101" s="5" t="str">
        <x:f>IF(P101="","",I101*(P101/M101-1))</x:f>
      </x:c>
      <x:c r="R101" s="11"/>
      <x:c r="S101" s="5" t="str">
        <x:f>IF(R101="","",I101*(R101/M101-1))</x:f>
      </x:c>
      <x:c r="T101" s="2" t="str">
        <x:f>IF(R101="",AK101,IF(S101&gt;0,"有利",IF(S101&lt;0,"不利","持平")))</x:f>
        <x:v>数据不足</x:v>
      </x:c>
      <x:c r="U101" s="5"/>
      <x:c r="V101" s="5"/>
      <x:c r="W101" s="2" t="str">
        <x:v>本次未复算；前次：前次复算一致，本次未重算</x:v>
      </x:c>
      <x:c r="X101" s="2" t="str">
        <x:v>逐条结果未留存</x:v>
      </x:c>
      <x:c r="Y101" s="10"/>
      <x:c r="Z101" s="10"/>
      <x:c r="AA101" s="10"/>
      <x:c r="AB101" s="12" t="n">
        <x:v>18.469173</x:v>
      </x:c>
      <x:c r="AC101" s="2" t="str">
        <x:v>subing_ths_alert_15m_v1</x:v>
      </x:c>
      <x:c r="AD101" s="5"/>
      <x:c r="AE101" s="5"/>
      <x:c r="AF101" s="5"/>
      <x:c r="AG101" s="2" t="str">
        <x:v>此前已有</x:v>
      </x:c>
      <x:c r="AH101" s="4" t="n">
        <x:v>46274</x:v>
      </x:c>
      <x:c r="AI101" s="2" t="str">
        <x:v>数据不足</x:v>
      </x:c>
      <x:c r="AJ101" s="2" t="str">
        <x:v>数据不足</x:v>
      </x:c>
      <x:c r="AK101" s="2" t="str">
        <x:v>数据不足</x:v>
      </x:c>
      <x:c r="AL101" s="5"/>
      <x:c r="AM101" s="5"/>
      <x:c r="AN101" s="5"/>
      <x:c r="AO101" s="2" t="str">
        <x:v>C121</x:v>
      </x:c>
      <x:c r="AP101" s="2" t="n">
        <x:v>1</x:v>
      </x:c>
    </x:row>
    <x:row r="102" ht="26" customHeight="1">
      <x:c r="A102" s="2" t="n">
        <x:v>122</x:v>
      </x:c>
      <x:c r="B102" s="4" t="n">
        <x:v>46274</x:v>
      </x:c>
      <x:c r="C102" s="10" t="n">
        <x:v>46274.38563657407</x:v>
      </x:c>
      <x:c r="D102" s="2" t="str">
        <x:v>多晶硅</x:v>
      </x:c>
      <x:c r="E102" s="2" t="str">
        <x:v>PS2611</x:v>
      </x:c>
      <x:c r="F102" s="2" t="str">
        <x:v>苏冰</x:v>
      </x:c>
      <x:c r="G102" s="2" t="str">
        <x:v>15m</x:v>
      </x:c>
      <x:c r="H102" s="2" t="str">
        <x:v>多头</x:v>
      </x:c>
      <x:c r="I102" s="2" t="n">
        <x:v>1</x:v>
      </x:c>
      <x:c r="J102" s="10" t="n">
        <x:v>46274.385416666664</x:v>
      </x:c>
      <x:c r="K102" s="11"/>
      <x:c r="L102" s="10" t="n">
        <x:v>46274.38611111111</x:v>
      </x:c>
      <x:c r="M102" s="11"/>
      <x:c r="N102" s="11"/>
      <x:c r="O102" s="5" t="str">
        <x:f>IF(N102="","",I102*(N102/M102-1))</x:f>
      </x:c>
      <x:c r="P102" s="11"/>
      <x:c r="Q102" s="5" t="str">
        <x:f>IF(P102="","",I102*(P102/M102-1))</x:f>
      </x:c>
      <x:c r="R102" s="11"/>
      <x:c r="S102" s="5" t="str">
        <x:f>IF(R102="","",I102*(R102/M102-1))</x:f>
      </x:c>
      <x:c r="T102" s="2" t="str">
        <x:f>IF(R102="",AK102,IF(S102&gt;0,"有利",IF(S102&lt;0,"不利","持平")))</x:f>
        <x:v>数据不足</x:v>
      </x:c>
      <x:c r="U102" s="5"/>
      <x:c r="V102" s="5"/>
      <x:c r="W102" s="2" t="str">
        <x:v>本次未复算；前次：前次复算一致，本次未重算</x:v>
      </x:c>
      <x:c r="X102" s="2" t="str">
        <x:v>逐条结果未留存</x:v>
      </x:c>
      <x:c r="Y102" s="10"/>
      <x:c r="Z102" s="10"/>
      <x:c r="AA102" s="10"/>
      <x:c r="AB102" s="12" t="n">
        <x:v>19.707452</x:v>
      </x:c>
      <x:c r="AC102" s="2" t="str">
        <x:v>subing_ths_alert_15m_v1</x:v>
      </x:c>
      <x:c r="AD102" s="5"/>
      <x:c r="AE102" s="5"/>
      <x:c r="AF102" s="5"/>
      <x:c r="AG102" s="2" t="str">
        <x:v>此前已有</x:v>
      </x:c>
      <x:c r="AH102" s="4" t="n">
        <x:v>46274</x:v>
      </x:c>
      <x:c r="AI102" s="2" t="str">
        <x:v>数据不足</x:v>
      </x:c>
      <x:c r="AJ102" s="2" t="str">
        <x:v>数据不足</x:v>
      </x:c>
      <x:c r="AK102" s="2" t="str">
        <x:v>数据不足</x:v>
      </x:c>
      <x:c r="AL102" s="5"/>
      <x:c r="AM102" s="5"/>
      <x:c r="AN102" s="5"/>
      <x:c r="AO102" s="2" t="str">
        <x:v>C122</x:v>
      </x:c>
      <x:c r="AP102" s="2" t="n">
        <x:v>1</x:v>
      </x:c>
    </x:row>
    <x:row r="103" ht="26" customHeight="1">
      <x:c r="A103" s="2" t="n">
        <x:v>123</x:v>
      </x:c>
      <x:c r="B103" s="4" t="n">
        <x:v>46274</x:v>
      </x:c>
      <x:c r="C103" s="10" t="n">
        <x:v>46274.38893518518</x:v>
      </x:c>
      <x:c r="D103" s="2" t="str">
        <x:v>焦煤</x:v>
      </x:c>
      <x:c r="E103" s="2" t="str">
        <x:v>JM2701</x:v>
      </x:c>
      <x:c r="F103" s="2" t="str">
        <x:v>火天大有</x:v>
      </x:c>
      <x:c r="G103" s="2" t="str">
        <x:v>5m</x:v>
      </x:c>
      <x:c r="H103" s="2" t="str">
        <x:v>多头</x:v>
      </x:c>
      <x:c r="I103" s="2" t="n">
        <x:v>1</x:v>
      </x:c>
      <x:c r="J103" s="10" t="n">
        <x:v>46274.38888888889</x:v>
      </x:c>
      <x:c r="K103" s="11"/>
      <x:c r="L103" s="10" t="n">
        <x:v>46274.38958333333</x:v>
      </x:c>
      <x:c r="M103" s="11"/>
      <x:c r="N103" s="11"/>
      <x:c r="O103" s="5" t="str">
        <x:f>IF(N103="","",I103*(N103/M103-1))</x:f>
      </x:c>
      <x:c r="P103" s="11"/>
      <x:c r="Q103" s="5" t="str">
        <x:f>IF(P103="","",I103*(P103/M103-1))</x:f>
      </x:c>
      <x:c r="R103" s="11"/>
      <x:c r="S103" s="5" t="str">
        <x:f>IF(R103="","",I103*(R103/M103-1))</x:f>
      </x:c>
      <x:c r="T103" s="2" t="str">
        <x:f>IF(R103="",AK103,IF(S103&gt;0,"有利",IF(S103&lt;0,"不利","持平")))</x:f>
        <x:v>数据不足</x:v>
      </x:c>
      <x:c r="U103" s="5"/>
      <x:c r="V103" s="5"/>
      <x:c r="W103" s="2" t="str">
        <x:v>本次未复算；前次：公式复算数据不足</x:v>
      </x:c>
      <x:c r="X103" s="2" t="str">
        <x:v>逐条结果未留存</x:v>
      </x:c>
      <x:c r="Y103" s="10"/>
      <x:c r="Z103" s="10"/>
      <x:c r="AA103" s="10"/>
      <x:c r="AB103" s="12" t="n">
        <x:v>4.398635</x:v>
      </x:c>
      <x:c r="AC103" s="2" t="str">
        <x:v>htdy_original_15m</x:v>
      </x:c>
      <x:c r="AD103" s="5"/>
      <x:c r="AE103" s="5"/>
      <x:c r="AF103" s="5"/>
      <x:c r="AG103" s="2" t="str">
        <x:v>此前已有</x:v>
      </x:c>
      <x:c r="AH103" s="4" t="n">
        <x:v>46274</x:v>
      </x:c>
      <x:c r="AI103" s="2" t="str">
        <x:v>数据不足</x:v>
      </x:c>
      <x:c r="AJ103" s="2" t="str">
        <x:v>数据不足</x:v>
      </x:c>
      <x:c r="AK103" s="2" t="str">
        <x:v>数据不足</x:v>
      </x:c>
      <x:c r="AL103" s="5"/>
      <x:c r="AM103" s="5"/>
      <x:c r="AN103" s="5"/>
      <x:c r="AO103" s="2" t="str">
        <x:v>C123</x:v>
      </x:c>
      <x:c r="AP103" s="2" t="n">
        <x:v>1</x:v>
      </x:c>
    </x:row>
    <x:row r="104" ht="26" customHeight="1">
      <x:c r="A104" s="2" t="n">
        <x:v>124</x:v>
      </x:c>
      <x:c r="B104" s="4" t="n">
        <x:v>46274</x:v>
      </x:c>
      <x:c r="C104" s="10" t="n">
        <x:v>46274.395891203705</x:v>
      </x:c>
      <x:c r="D104" s="2" t="str">
        <x:v>纯碱</x:v>
      </x:c>
      <x:c r="E104" s="2" t="str">
        <x:v>SA2701</x:v>
      </x:c>
      <x:c r="F104" s="2" t="str">
        <x:v>苏冰</x:v>
      </x:c>
      <x:c r="G104" s="2" t="str">
        <x:v>15m</x:v>
      </x:c>
      <x:c r="H104" s="2" t="str">
        <x:v>空头</x:v>
      </x:c>
      <x:c r="I104" s="2" t="n">
        <x:v>-1</x:v>
      </x:c>
      <x:c r="J104" s="10" t="n">
        <x:v>46274.395833333336</x:v>
      </x:c>
      <x:c r="K104" s="11"/>
      <x:c r="L104" s="10" t="n">
        <x:v>46274.396527777775</x:v>
      </x:c>
      <x:c r="M104" s="11"/>
      <x:c r="N104" s="11"/>
      <x:c r="O104" s="5" t="str">
        <x:f>IF(N104="","",I104*(N104/M104-1))</x:f>
      </x:c>
      <x:c r="P104" s="11"/>
      <x:c r="Q104" s="5" t="str">
        <x:f>IF(P104="","",I104*(P104/M104-1))</x:f>
      </x:c>
      <x:c r="R104" s="11"/>
      <x:c r="S104" s="5" t="str">
        <x:f>IF(R104="","",I104*(R104/M104-1))</x:f>
      </x:c>
      <x:c r="T104" s="2" t="str">
        <x:f>IF(R104="",AK104,IF(S104&gt;0,"有利",IF(S104&lt;0,"不利","持平")))</x:f>
        <x:v>数据不足</x:v>
      </x:c>
      <x:c r="U104" s="5"/>
      <x:c r="V104" s="5"/>
      <x:c r="W104" s="2" t="str">
        <x:v>本次未复算；前次：前次复算一致，本次未重算</x:v>
      </x:c>
      <x:c r="X104" s="2" t="str">
        <x:v>逐条结果未留存</x:v>
      </x:c>
      <x:c r="Y104" s="10"/>
      <x:c r="Z104" s="10"/>
      <x:c r="AA104" s="10"/>
      <x:c r="AB104" s="12" t="n">
        <x:v>5.047355</x:v>
      </x:c>
      <x:c r="AC104" s="2" t="str">
        <x:v>subing_ths_alert_15m_v1</x:v>
      </x:c>
      <x:c r="AD104" s="5"/>
      <x:c r="AE104" s="5"/>
      <x:c r="AF104" s="5"/>
      <x:c r="AG104" s="2" t="str">
        <x:v>此前已有</x:v>
      </x:c>
      <x:c r="AH104" s="4" t="n">
        <x:v>46274</x:v>
      </x:c>
      <x:c r="AI104" s="2" t="str">
        <x:v>数据不足</x:v>
      </x:c>
      <x:c r="AJ104" s="2" t="str">
        <x:v>数据不足</x:v>
      </x:c>
      <x:c r="AK104" s="2" t="str">
        <x:v>数据不足</x:v>
      </x:c>
      <x:c r="AL104" s="5"/>
      <x:c r="AM104" s="5"/>
      <x:c r="AN104" s="5"/>
      <x:c r="AO104" s="2" t="str">
        <x:v>C124</x:v>
      </x:c>
      <x:c r="AP104" s="2" t="n">
        <x:v>1</x:v>
      </x:c>
    </x:row>
    <x:row r="105" ht="26" customHeight="1">
      <x:c r="A105" s="2" t="n">
        <x:v>125</x:v>
      </x:c>
      <x:c r="B105" s="4" t="n">
        <x:v>46274</x:v>
      </x:c>
      <x:c r="C105" s="10" t="n">
        <x:v>46274.3959837963</x:v>
      </x:c>
      <x:c r="D105" s="2" t="str">
        <x:v>瓶片</x:v>
      </x:c>
      <x:c r="E105" s="2" t="str">
        <x:v>PL2611</x:v>
      </x:c>
      <x:c r="F105" s="2" t="str">
        <x:v>苏冰</x:v>
      </x:c>
      <x:c r="G105" s="2" t="str">
        <x:v>15m</x:v>
      </x:c>
      <x:c r="H105" s="2" t="str">
        <x:v>多头</x:v>
      </x:c>
      <x:c r="I105" s="2" t="n">
        <x:v>1</x:v>
      </x:c>
      <x:c r="J105" s="10" t="n">
        <x:v>46274.395833333336</x:v>
      </x:c>
      <x:c r="K105" s="11"/>
      <x:c r="L105" s="10" t="n">
        <x:v>46274.396527777775</x:v>
      </x:c>
      <x:c r="M105" s="11"/>
      <x:c r="N105" s="11"/>
      <x:c r="O105" s="5" t="str">
        <x:f>IF(N105="","",I105*(N105/M105-1))</x:f>
      </x:c>
      <x:c r="P105" s="11"/>
      <x:c r="Q105" s="5" t="str">
        <x:f>IF(P105="","",I105*(P105/M105-1))</x:f>
      </x:c>
      <x:c r="R105" s="11"/>
      <x:c r="S105" s="5" t="str">
        <x:f>IF(R105="","",I105*(R105/M105-1))</x:f>
      </x:c>
      <x:c r="T105" s="2" t="str">
        <x:f>IF(R105="",AK105,IF(S105&gt;0,"有利",IF(S105&lt;0,"不利","持平")))</x:f>
        <x:v>数据不足</x:v>
      </x:c>
      <x:c r="U105" s="5"/>
      <x:c r="V105" s="5"/>
      <x:c r="W105" s="2" t="str">
        <x:v>本次未复算；前次：前次复算一致，本次未重算</x:v>
      </x:c>
      <x:c r="X105" s="2" t="str">
        <x:v>逐条结果未留存</x:v>
      </x:c>
      <x:c r="Y105" s="10"/>
      <x:c r="Z105" s="10"/>
      <x:c r="AA105" s="10"/>
      <x:c r="AB105" s="12" t="n">
        <x:v>13.207026</x:v>
      </x:c>
      <x:c r="AC105" s="2" t="str">
        <x:v>subing_ths_alert_15m_v1</x:v>
      </x:c>
      <x:c r="AD105" s="5"/>
      <x:c r="AE105" s="5"/>
      <x:c r="AF105" s="5"/>
      <x:c r="AG105" s="2" t="str">
        <x:v>此前已有</x:v>
      </x:c>
      <x:c r="AH105" s="4" t="n">
        <x:v>46274</x:v>
      </x:c>
      <x:c r="AI105" s="2" t="str">
        <x:v>数据不足</x:v>
      </x:c>
      <x:c r="AJ105" s="2" t="str">
        <x:v>数据不足</x:v>
      </x:c>
      <x:c r="AK105" s="2" t="str">
        <x:v>数据不足</x:v>
      </x:c>
      <x:c r="AL105" s="5"/>
      <x:c r="AM105" s="5"/>
      <x:c r="AN105" s="5"/>
      <x:c r="AO105" s="2" t="str">
        <x:v>C125</x:v>
      </x:c>
      <x:c r="AP105" s="2" t="n">
        <x:v>1</x:v>
      </x:c>
    </x:row>
    <x:row r="106" ht="26" customHeight="1">
      <x:c r="A106" s="2" t="n">
        <x:v>126</x:v>
      </x:c>
      <x:c r="B106" s="4" t="n">
        <x:v>46274</x:v>
      </x:c>
      <x:c r="C106" s="10" t="n">
        <x:v>46274.39607638889</x:v>
      </x:c>
      <x:c r="D106" s="2" t="str">
        <x:v>聚乙烯</x:v>
      </x:c>
      <x:c r="E106" s="2" t="str">
        <x:v>L2701</x:v>
      </x:c>
      <x:c r="F106" s="2" t="str">
        <x:v>苏冰</x:v>
      </x:c>
      <x:c r="G106" s="2" t="str">
        <x:v>15m</x:v>
      </x:c>
      <x:c r="H106" s="2" t="str">
        <x:v>多头</x:v>
      </x:c>
      <x:c r="I106" s="2" t="n">
        <x:v>1</x:v>
      </x:c>
      <x:c r="J106" s="10" t="n">
        <x:v>46274.395833333336</x:v>
      </x:c>
      <x:c r="K106" s="11"/>
      <x:c r="L106" s="10" t="n">
        <x:v>46274.396527777775</x:v>
      </x:c>
      <x:c r="M106" s="11"/>
      <x:c r="N106" s="11"/>
      <x:c r="O106" s="5" t="str">
        <x:f>IF(N106="","",I106*(N106/M106-1))</x:f>
      </x:c>
      <x:c r="P106" s="11"/>
      <x:c r="Q106" s="5" t="str">
        <x:f>IF(P106="","",I106*(P106/M106-1))</x:f>
      </x:c>
      <x:c r="R106" s="11"/>
      <x:c r="S106" s="5" t="str">
        <x:f>IF(R106="","",I106*(R106/M106-1))</x:f>
      </x:c>
      <x:c r="T106" s="2" t="str">
        <x:f>IF(R106="",AK106,IF(S106&gt;0,"有利",IF(S106&lt;0,"不利","持平")))</x:f>
        <x:v>数据不足</x:v>
      </x:c>
      <x:c r="U106" s="5"/>
      <x:c r="V106" s="5"/>
      <x:c r="W106" s="2" t="str">
        <x:v>本次未复算；前次：前次复算一致，本次未重算</x:v>
      </x:c>
      <x:c r="X106" s="2" t="str">
        <x:v>逐条结果未留存</x:v>
      </x:c>
      <x:c r="Y106" s="10"/>
      <x:c r="Z106" s="10"/>
      <x:c r="AA106" s="10"/>
      <x:c r="AB106" s="12" t="n">
        <x:v>21.689465</x:v>
      </x:c>
      <x:c r="AC106" s="2" t="str">
        <x:v>subing_ths_alert_15m_v1</x:v>
      </x:c>
      <x:c r="AD106" s="5"/>
      <x:c r="AE106" s="5"/>
      <x:c r="AF106" s="5"/>
      <x:c r="AG106" s="2" t="str">
        <x:v>此前已有</x:v>
      </x:c>
      <x:c r="AH106" s="4" t="n">
        <x:v>46274</x:v>
      </x:c>
      <x:c r="AI106" s="2" t="str">
        <x:v>数据不足</x:v>
      </x:c>
      <x:c r="AJ106" s="2" t="str">
        <x:v>数据不足</x:v>
      </x:c>
      <x:c r="AK106" s="2" t="str">
        <x:v>数据不足</x:v>
      </x:c>
      <x:c r="AL106" s="5"/>
      <x:c r="AM106" s="5"/>
      <x:c r="AN106" s="5"/>
      <x:c r="AO106" s="2" t="str">
        <x:v>C126</x:v>
      </x:c>
      <x:c r="AP106" s="2" t="n">
        <x:v>1</x:v>
      </x:c>
    </x:row>
    <x:row r="107" ht="26" customHeight="1">
      <x:c r="A107" s="2" t="n">
        <x:v>127</x:v>
      </x:c>
      <x:c r="B107" s="4" t="n">
        <x:v>46274</x:v>
      </x:c>
      <x:c r="C107" s="10" t="n">
        <x:v>46274.39612268518</x:v>
      </x:c>
      <x:c r="D107" s="2" t="str">
        <x:v>液化石油气</x:v>
      </x:c>
      <x:c r="E107" s="2" t="str">
        <x:v>PG2610</x:v>
      </x:c>
      <x:c r="F107" s="2" t="str">
        <x:v>苏冰</x:v>
      </x:c>
      <x:c r="G107" s="2" t="str">
        <x:v>15m</x:v>
      </x:c>
      <x:c r="H107" s="2" t="str">
        <x:v>多头</x:v>
      </x:c>
      <x:c r="I107" s="2" t="n">
        <x:v>1</x:v>
      </x:c>
      <x:c r="J107" s="10" t="n">
        <x:v>46274.395833333336</x:v>
      </x:c>
      <x:c r="K107" s="11"/>
      <x:c r="L107" s="10" t="n">
        <x:v>46274.396527777775</x:v>
      </x:c>
      <x:c r="M107" s="11"/>
      <x:c r="N107" s="11"/>
      <x:c r="O107" s="5" t="str">
        <x:f>IF(N107="","",I107*(N107/M107-1))</x:f>
      </x:c>
      <x:c r="P107" s="11"/>
      <x:c r="Q107" s="5" t="str">
        <x:f>IF(P107="","",I107*(P107/M107-1))</x:f>
      </x:c>
      <x:c r="R107" s="11"/>
      <x:c r="S107" s="5" t="str">
        <x:f>IF(R107="","",I107*(R107/M107-1))</x:f>
      </x:c>
      <x:c r="T107" s="2" t="str">
        <x:f>IF(R107="",AK107,IF(S107&gt;0,"有利",IF(S107&lt;0,"不利","持平")))</x:f>
        <x:v>数据不足</x:v>
      </x:c>
      <x:c r="U107" s="5"/>
      <x:c r="V107" s="5"/>
      <x:c r="W107" s="2" t="str">
        <x:v>本次未复算；前次：前次复算一致，本次未重算</x:v>
      </x:c>
      <x:c r="X107" s="2" t="str">
        <x:v>逐条结果未留存</x:v>
      </x:c>
      <x:c r="Y107" s="10"/>
      <x:c r="Z107" s="10"/>
      <x:c r="AA107" s="10"/>
      <x:c r="AB107" s="12" t="n">
        <x:v>25.357032</x:v>
      </x:c>
      <x:c r="AC107" s="2" t="str">
        <x:v>subing_ths_alert_15m_v1</x:v>
      </x:c>
      <x:c r="AD107" s="5"/>
      <x:c r="AE107" s="5"/>
      <x:c r="AF107" s="5"/>
      <x:c r="AG107" s="2" t="str">
        <x:v>此前已有</x:v>
      </x:c>
      <x:c r="AH107" s="4" t="n">
        <x:v>46274</x:v>
      </x:c>
      <x:c r="AI107" s="2" t="str">
        <x:v>数据不足</x:v>
      </x:c>
      <x:c r="AJ107" s="2" t="str">
        <x:v>数据不足</x:v>
      </x:c>
      <x:c r="AK107" s="2" t="str">
        <x:v>数据不足</x:v>
      </x:c>
      <x:c r="AL107" s="5"/>
      <x:c r="AM107" s="5"/>
      <x:c r="AN107" s="5"/>
      <x:c r="AO107" s="2" t="str">
        <x:v>C127</x:v>
      </x:c>
      <x:c r="AP107" s="2" t="n">
        <x:v>1</x:v>
      </x:c>
    </x:row>
    <x:row r="108" ht="26" customHeight="1">
      <x:c r="A108" s="2" t="n">
        <x:v>128</x:v>
      </x:c>
      <x:c r="B108" s="4" t="n">
        <x:v>46274</x:v>
      </x:c>
      <x:c r="C108" s="10" t="n">
        <x:v>46274.406331018516</x:v>
      </x:c>
      <x:c r="D108" s="2" t="str">
        <x:v>豆油</x:v>
      </x:c>
      <x:c r="E108" s="2" t="str">
        <x:v>Y2701</x:v>
      </x:c>
      <x:c r="F108" s="2" t="str">
        <x:v>苏冰</x:v>
      </x:c>
      <x:c r="G108" s="2" t="str">
        <x:v>15m</x:v>
      </x:c>
      <x:c r="H108" s="2" t="str">
        <x:v>多头</x:v>
      </x:c>
      <x:c r="I108" s="2" t="n">
        <x:v>1</x:v>
      </x:c>
      <x:c r="J108" s="10" t="n">
        <x:v>46274.40625</x:v>
      </x:c>
      <x:c r="K108" s="11"/>
      <x:c r="L108" s="10" t="n">
        <x:v>46274.40694444445</x:v>
      </x:c>
      <x:c r="M108" s="11"/>
      <x:c r="N108" s="11"/>
      <x:c r="O108" s="5" t="str">
        <x:f>IF(N108="","",I108*(N108/M108-1))</x:f>
      </x:c>
      <x:c r="P108" s="11"/>
      <x:c r="Q108" s="5" t="str">
        <x:f>IF(P108="","",I108*(P108/M108-1))</x:f>
      </x:c>
      <x:c r="R108" s="11"/>
      <x:c r="S108" s="5" t="str">
        <x:f>IF(R108="","",I108*(R108/M108-1))</x:f>
      </x:c>
      <x:c r="T108" s="2" t="str">
        <x:f>IF(R108="",AK108,IF(S108&gt;0,"有利",IF(S108&lt;0,"不利","持平")))</x:f>
        <x:v>数据不足</x:v>
      </x:c>
      <x:c r="U108" s="5"/>
      <x:c r="V108" s="5"/>
      <x:c r="W108" s="2" t="str">
        <x:v>本次未复算；前次：前次复算一致，本次未重算</x:v>
      </x:c>
      <x:c r="X108" s="2" t="str">
        <x:v>逐条结果未留存</x:v>
      </x:c>
      <x:c r="Y108" s="10"/>
      <x:c r="Z108" s="10"/>
      <x:c r="AA108" s="10"/>
      <x:c r="AB108" s="12" t="n">
        <x:v>7.895592</x:v>
      </x:c>
      <x:c r="AC108" s="2" t="str">
        <x:v>subing_ths_alert_15m_v1</x:v>
      </x:c>
      <x:c r="AD108" s="5"/>
      <x:c r="AE108" s="5"/>
      <x:c r="AF108" s="5"/>
      <x:c r="AG108" s="2" t="str">
        <x:v>此前已有</x:v>
      </x:c>
      <x:c r="AH108" s="4" t="n">
        <x:v>46274</x:v>
      </x:c>
      <x:c r="AI108" s="2" t="str">
        <x:v>数据不足</x:v>
      </x:c>
      <x:c r="AJ108" s="2" t="str">
        <x:v>数据不足</x:v>
      </x:c>
      <x:c r="AK108" s="2" t="str">
        <x:v>数据不足</x:v>
      </x:c>
      <x:c r="AL108" s="5"/>
      <x:c r="AM108" s="5"/>
      <x:c r="AN108" s="5"/>
      <x:c r="AO108" s="2" t="str">
        <x:v>C128</x:v>
      </x:c>
      <x:c r="AP108" s="2" t="n">
        <x:v>1</x:v>
      </x:c>
    </x:row>
    <x:row r="109" ht="26" customHeight="1">
      <x:c r="A109" s="2" t="n">
        <x:v>129</x:v>
      </x:c>
      <x:c r="B109" s="4" t="n">
        <x:v>46274</x:v>
      </x:c>
      <x:c r="C109" s="10" t="n">
        <x:v>46274.40634259259</x:v>
      </x:c>
      <x:c r="D109" s="2" t="str">
        <x:v>硅铁</x:v>
      </x:c>
      <x:c r="E109" s="2" t="str">
        <x:v>SF2611</x:v>
      </x:c>
      <x:c r="F109" s="2" t="str">
        <x:v>苏冰</x:v>
      </x:c>
      <x:c r="G109" s="2" t="str">
        <x:v>15m</x:v>
      </x:c>
      <x:c r="H109" s="2" t="str">
        <x:v>空头</x:v>
      </x:c>
      <x:c r="I109" s="2" t="n">
        <x:v>-1</x:v>
      </x:c>
      <x:c r="J109" s="10" t="n">
        <x:v>46274.40625</x:v>
      </x:c>
      <x:c r="K109" s="11"/>
      <x:c r="L109" s="10" t="n">
        <x:v>46274.40694444445</x:v>
      </x:c>
      <x:c r="M109" s="11"/>
      <x:c r="N109" s="11"/>
      <x:c r="O109" s="5" t="str">
        <x:f>IF(N109="","",I109*(N109/M109-1))</x:f>
      </x:c>
      <x:c r="P109" s="11"/>
      <x:c r="Q109" s="5" t="str">
        <x:f>IF(P109="","",I109*(P109/M109-1))</x:f>
      </x:c>
      <x:c r="R109" s="11"/>
      <x:c r="S109" s="5" t="str">
        <x:f>IF(R109="","",I109*(R109/M109-1))</x:f>
      </x:c>
      <x:c r="T109" s="2" t="str">
        <x:f>IF(R109="",AK109,IF(S109&gt;0,"有利",IF(S109&lt;0,"不利","持平")))</x:f>
        <x:v>数据不足</x:v>
      </x:c>
      <x:c r="U109" s="5"/>
      <x:c r="V109" s="5"/>
      <x:c r="W109" s="2" t="str">
        <x:v>本次未复算；前次：前次复算一致，本次未重算</x:v>
      </x:c>
      <x:c r="X109" s="2" t="str">
        <x:v>逐条结果未留存</x:v>
      </x:c>
      <x:c r="Y109" s="10"/>
      <x:c r="Z109" s="10"/>
      <x:c r="AA109" s="10"/>
      <x:c r="AB109" s="12" t="n">
        <x:v>8.934162</x:v>
      </x:c>
      <x:c r="AC109" s="2" t="str">
        <x:v>subing_ths_alert_15m_v1</x:v>
      </x:c>
      <x:c r="AD109" s="5"/>
      <x:c r="AE109" s="5"/>
      <x:c r="AF109" s="5"/>
      <x:c r="AG109" s="2" t="str">
        <x:v>此前已有</x:v>
      </x:c>
      <x:c r="AH109" s="4" t="n">
        <x:v>46274</x:v>
      </x:c>
      <x:c r="AI109" s="2" t="str">
        <x:v>数据不足</x:v>
      </x:c>
      <x:c r="AJ109" s="2" t="str">
        <x:v>数据不足</x:v>
      </x:c>
      <x:c r="AK109" s="2" t="str">
        <x:v>数据不足</x:v>
      </x:c>
      <x:c r="AL109" s="5"/>
      <x:c r="AM109" s="5"/>
      <x:c r="AN109" s="5"/>
      <x:c r="AO109" s="2" t="str">
        <x:v>C129</x:v>
      </x:c>
      <x:c r="AP109" s="2" t="n">
        <x:v>1</x:v>
      </x:c>
    </x:row>
    <x:row r="110" ht="26" customHeight="1">
      <x:c r="A110" s="2" t="n">
        <x:v>130</x:v>
      </x:c>
      <x:c r="B110" s="4" t="n">
        <x:v>46274</x:v>
      </x:c>
      <x:c r="C110" s="10" t="n">
        <x:v>46274.41675925926</x:v>
      </x:c>
      <x:c r="D110" s="2" t="str">
        <x:v>焦煤</x:v>
      </x:c>
      <x:c r="E110" s="2" t="str">
        <x:v>JM2701</x:v>
      </x:c>
      <x:c r="F110" s="2" t="str">
        <x:v>火天大有</x:v>
      </x:c>
      <x:c r="G110" s="2" t="str">
        <x:v>5m</x:v>
      </x:c>
      <x:c r="H110" s="2" t="str">
        <x:v>多头</x:v>
      </x:c>
      <x:c r="I110" s="2" t="n">
        <x:v>1</x:v>
      </x:c>
      <x:c r="J110" s="10" t="n">
        <x:v>46274.416666666664</x:v>
      </x:c>
      <x:c r="K110" s="11"/>
      <x:c r="L110" s="10" t="n">
        <x:v>46274.41736111111</x:v>
      </x:c>
      <x:c r="M110" s="11"/>
      <x:c r="N110" s="11"/>
      <x:c r="O110" s="5" t="str">
        <x:f>IF(N110="","",I110*(N110/M110-1))</x:f>
      </x:c>
      <x:c r="P110" s="11"/>
      <x:c r="Q110" s="5" t="str">
        <x:f>IF(P110="","",I110*(P110/M110-1))</x:f>
      </x:c>
      <x:c r="R110" s="11"/>
      <x:c r="S110" s="5" t="str">
        <x:f>IF(R110="","",I110*(R110/M110-1))</x:f>
      </x:c>
      <x:c r="T110" s="2" t="str">
        <x:f>IF(R110="",AK110,IF(S110&gt;0,"有利",IF(S110&lt;0,"不利","持平")))</x:f>
        <x:v>数据不足</x:v>
      </x:c>
      <x:c r="U110" s="5"/>
      <x:c r="V110" s="5"/>
      <x:c r="W110" s="2" t="str">
        <x:v>本次未复算；前次：公式复算数据不足</x:v>
      </x:c>
      <x:c r="X110" s="2" t="str">
        <x:v>逐条结果未留存</x:v>
      </x:c>
      <x:c r="Y110" s="10"/>
      <x:c r="Z110" s="10"/>
      <x:c r="AA110" s="10"/>
      <x:c r="AB110" s="12" t="n">
        <x:v>8.729169</x:v>
      </x:c>
      <x:c r="AC110" s="2" t="str">
        <x:v>htdy_original_15m</x:v>
      </x:c>
      <x:c r="AD110" s="5"/>
      <x:c r="AE110" s="5"/>
      <x:c r="AF110" s="5"/>
      <x:c r="AG110" s="2" t="str">
        <x:v>此前已有</x:v>
      </x:c>
      <x:c r="AH110" s="4" t="n">
        <x:v>46274</x:v>
      </x:c>
      <x:c r="AI110" s="2" t="str">
        <x:v>数据不足</x:v>
      </x:c>
      <x:c r="AJ110" s="2" t="str">
        <x:v>数据不足</x:v>
      </x:c>
      <x:c r="AK110" s="2" t="str">
        <x:v>数据不足</x:v>
      </x:c>
      <x:c r="AL110" s="5"/>
      <x:c r="AM110" s="5"/>
      <x:c r="AN110" s="5"/>
      <x:c r="AO110" s="2" t="str">
        <x:v>C123</x:v>
      </x:c>
      <x:c r="AP110" s="2" t="n">
        <x:v>0</x:v>
      </x:c>
    </x:row>
    <x:row r="111" ht="26" customHeight="1">
      <x:c r="A111" s="2" t="n">
        <x:v>131</x:v>
      </x:c>
      <x:c r="B111" s="4" t="n">
        <x:v>46274</x:v>
      </x:c>
      <x:c r="C111" s="10" t="n">
        <x:v>46274.41693287037</x:v>
      </x:c>
      <x:c r="D111" s="2" t="str">
        <x:v>豆油</x:v>
      </x:c>
      <x:c r="E111" s="2" t="str">
        <x:v>Y2701</x:v>
      </x:c>
      <x:c r="F111" s="2" t="str">
        <x:v>苏冰</x:v>
      </x:c>
      <x:c r="G111" s="2" t="str">
        <x:v>15m</x:v>
      </x:c>
      <x:c r="H111" s="2" t="str">
        <x:v>空头</x:v>
      </x:c>
      <x:c r="I111" s="2" t="n">
        <x:v>-1</x:v>
      </x:c>
      <x:c r="J111" s="10" t="n">
        <x:v>46274.416666666664</x:v>
      </x:c>
      <x:c r="K111" s="11"/>
      <x:c r="L111" s="10" t="n">
        <x:v>46274.41736111111</x:v>
      </x:c>
      <x:c r="M111" s="11"/>
      <x:c r="N111" s="11"/>
      <x:c r="O111" s="5" t="str">
        <x:f>IF(N111="","",I111*(N111/M111-1))</x:f>
      </x:c>
      <x:c r="P111" s="11"/>
      <x:c r="Q111" s="5" t="str">
        <x:f>IF(P111="","",I111*(P111/M111-1))</x:f>
      </x:c>
      <x:c r="R111" s="11"/>
      <x:c r="S111" s="5" t="str">
        <x:f>IF(R111="","",I111*(R111/M111-1))</x:f>
      </x:c>
      <x:c r="T111" s="2" t="str">
        <x:f>IF(R111="",AK111,IF(S111&gt;0,"有利",IF(S111&lt;0,"不利","持平")))</x:f>
        <x:v>数据不足</x:v>
      </x:c>
      <x:c r="U111" s="5"/>
      <x:c r="V111" s="5"/>
      <x:c r="W111" s="2" t="str">
        <x:v>本次未复算；前次：前次复算一致，本次未重算</x:v>
      </x:c>
      <x:c r="X111" s="2" t="str">
        <x:v>逐条结果未留存</x:v>
      </x:c>
      <x:c r="Y111" s="10"/>
      <x:c r="Z111" s="10"/>
      <x:c r="AA111" s="10"/>
      <x:c r="AB111" s="12" t="n">
        <x:v>23.962859</x:v>
      </x:c>
      <x:c r="AC111" s="2" t="str">
        <x:v>subing_ths_alert_15m_v1</x:v>
      </x:c>
      <x:c r="AD111" s="5"/>
      <x:c r="AE111" s="5"/>
      <x:c r="AF111" s="5"/>
      <x:c r="AG111" s="2" t="str">
        <x:v>此前已有</x:v>
      </x:c>
      <x:c r="AH111" s="4" t="n">
        <x:v>46274</x:v>
      </x:c>
      <x:c r="AI111" s="2" t="str">
        <x:v>数据不足</x:v>
      </x:c>
      <x:c r="AJ111" s="2" t="str">
        <x:v>数据不足</x:v>
      </x:c>
      <x:c r="AK111" s="2" t="str">
        <x:v>数据不足</x:v>
      </x:c>
      <x:c r="AL111" s="5"/>
      <x:c r="AM111" s="5"/>
      <x:c r="AN111" s="5"/>
      <x:c r="AO111" s="2" t="str">
        <x:v>C131</x:v>
      </x:c>
      <x:c r="AP111" s="2" t="n">
        <x:v>1</x:v>
      </x:c>
    </x:row>
    <x:row r="112" ht="26" customHeight="1">
      <x:c r="A112" s="2" t="n">
        <x:v>132</x:v>
      </x:c>
      <x:c r="B112" s="4" t="n">
        <x:v>46274</x:v>
      </x:c>
      <x:c r="C112" s="10" t="n">
        <x:v>46274.41699074074</x:v>
      </x:c>
      <x:c r="D112" s="2" t="str">
        <x:v>生猪</x:v>
      </x:c>
      <x:c r="E112" s="2" t="str">
        <x:v>LH2611</x:v>
      </x:c>
      <x:c r="F112" s="2" t="str">
        <x:v>苏冰</x:v>
      </x:c>
      <x:c r="G112" s="2" t="str">
        <x:v>15m</x:v>
      </x:c>
      <x:c r="H112" s="2" t="str">
        <x:v>空头</x:v>
      </x:c>
      <x:c r="I112" s="2" t="n">
        <x:v>-1</x:v>
      </x:c>
      <x:c r="J112" s="10" t="n">
        <x:v>46274.416666666664</x:v>
      </x:c>
      <x:c r="K112" s="11"/>
      <x:c r="L112" s="10" t="n">
        <x:v>46274.41736111111</x:v>
      </x:c>
      <x:c r="M112" s="11"/>
      <x:c r="N112" s="11"/>
      <x:c r="O112" s="5" t="str">
        <x:f>IF(N112="","",I112*(N112/M112-1))</x:f>
      </x:c>
      <x:c r="P112" s="11"/>
      <x:c r="Q112" s="5" t="str">
        <x:f>IF(P112="","",I112*(P112/M112-1))</x:f>
      </x:c>
      <x:c r="R112" s="11"/>
      <x:c r="S112" s="5" t="str">
        <x:f>IF(R112="","",I112*(R112/M112-1))</x:f>
      </x:c>
      <x:c r="T112" s="2" t="str">
        <x:f>IF(R112="",AK112,IF(S112&gt;0,"有利",IF(S112&lt;0,"不利","持平")))</x:f>
        <x:v>数据不足</x:v>
      </x:c>
      <x:c r="U112" s="5"/>
      <x:c r="V112" s="5"/>
      <x:c r="W112" s="2" t="str">
        <x:v>本次未复算；前次：前次复算一致，本次未重算</x:v>
      </x:c>
      <x:c r="X112" s="2" t="str">
        <x:v>逐条结果未留存</x:v>
      </x:c>
      <x:c r="Y112" s="10"/>
      <x:c r="Z112" s="10"/>
      <x:c r="AA112" s="10"/>
      <x:c r="AB112" s="12" t="n">
        <x:v>28.687205</x:v>
      </x:c>
      <x:c r="AC112" s="2" t="str">
        <x:v>subing_ths_alert_15m_v1</x:v>
      </x:c>
      <x:c r="AD112" s="5"/>
      <x:c r="AE112" s="5"/>
      <x:c r="AF112" s="5"/>
      <x:c r="AG112" s="2" t="str">
        <x:v>此前已有</x:v>
      </x:c>
      <x:c r="AH112" s="4" t="n">
        <x:v>46274</x:v>
      </x:c>
      <x:c r="AI112" s="2" t="str">
        <x:v>数据不足</x:v>
      </x:c>
      <x:c r="AJ112" s="2" t="str">
        <x:v>数据不足</x:v>
      </x:c>
      <x:c r="AK112" s="2" t="str">
        <x:v>数据不足</x:v>
      </x:c>
      <x:c r="AL112" s="5"/>
      <x:c r="AM112" s="5"/>
      <x:c r="AN112" s="5"/>
      <x:c r="AO112" s="2" t="str">
        <x:v>C132</x:v>
      </x:c>
      <x:c r="AP112" s="2" t="n">
        <x:v>1</x:v>
      </x:c>
    </x:row>
    <x:row r="113" ht="26" customHeight="1">
      <x:c r="A113" s="2" t="n">
        <x:v>133</x:v>
      </x:c>
      <x:c r="B113" s="4" t="n">
        <x:v>46274</x:v>
      </x:c>
      <x:c r="C113" s="10" t="n">
        <x:v>46274.427141203705</x:v>
      </x:c>
      <x:c r="D113" s="2" t="str">
        <x:v>沥青</x:v>
      </x:c>
      <x:c r="E113" s="2" t="str">
        <x:v>BU2610</x:v>
      </x:c>
      <x:c r="F113" s="2" t="str">
        <x:v>苏冰</x:v>
      </x:c>
      <x:c r="G113" s="2" t="str">
        <x:v>15m</x:v>
      </x:c>
      <x:c r="H113" s="2" t="str">
        <x:v>多头</x:v>
      </x:c>
      <x:c r="I113" s="2" t="n">
        <x:v>1</x:v>
      </x:c>
      <x:c r="J113" s="10" t="n">
        <x:v>46274.427083333336</x:v>
      </x:c>
      <x:c r="K113" s="11"/>
      <x:c r="L113" s="10" t="n">
        <x:v>46274.43819444445</x:v>
      </x:c>
      <x:c r="M113" s="11"/>
      <x:c r="N113" s="11"/>
      <x:c r="O113" s="5" t="str">
        <x:f>IF(N113="","",I113*(N113/M113-1))</x:f>
      </x:c>
      <x:c r="P113" s="11"/>
      <x:c r="Q113" s="5" t="str">
        <x:f>IF(P113="","",I113*(P113/M113-1))</x:f>
      </x:c>
      <x:c r="R113" s="11"/>
      <x:c r="S113" s="5" t="str">
        <x:f>IF(R113="","",I113*(R113/M113-1))</x:f>
      </x:c>
      <x:c r="T113" s="2" t="str">
        <x:f>IF(R113="",AK113,IF(S113&gt;0,"有利",IF(S113&lt;0,"不利","持平")))</x:f>
        <x:v>数据不足</x:v>
      </x:c>
      <x:c r="U113" s="5"/>
      <x:c r="V113" s="5"/>
      <x:c r="W113" s="2" t="str">
        <x:v>本次未复算；前次：前次复算一致，本次未重算</x:v>
      </x:c>
      <x:c r="X113" s="2" t="str">
        <x:v>逐条结果未留存</x:v>
      </x:c>
      <x:c r="Y113" s="10"/>
      <x:c r="Z113" s="10"/>
      <x:c r="AA113" s="10"/>
      <x:c r="AB113" s="12" t="n">
        <x:v>5.122809</x:v>
      </x:c>
      <x:c r="AC113" s="2" t="str">
        <x:v>subing_ths_alert_15m_v1</x:v>
      </x:c>
      <x:c r="AD113" s="5"/>
      <x:c r="AE113" s="5"/>
      <x:c r="AF113" s="5"/>
      <x:c r="AG113" s="2" t="str">
        <x:v>此前已有</x:v>
      </x:c>
      <x:c r="AH113" s="4" t="n">
        <x:v>46274</x:v>
      </x:c>
      <x:c r="AI113" s="2" t="str">
        <x:v>数据不足</x:v>
      </x:c>
      <x:c r="AJ113" s="2" t="str">
        <x:v>数据不足</x:v>
      </x:c>
      <x:c r="AK113" s="2" t="str">
        <x:v>数据不足</x:v>
      </x:c>
      <x:c r="AL113" s="5"/>
      <x:c r="AM113" s="5"/>
      <x:c r="AN113" s="5"/>
      <x:c r="AO113" s="2" t="str">
        <x:v>C133</x:v>
      </x:c>
      <x:c r="AP113" s="2" t="n">
        <x:v>1</x:v>
      </x:c>
    </x:row>
    <x:row r="114" ht="26" customHeight="1">
      <x:c r="A114" s="2" t="n">
        <x:v>134</x:v>
      </x:c>
      <x:c r="B114" s="4" t="n">
        <x:v>46274</x:v>
      </x:c>
      <x:c r="C114" s="10" t="n">
        <x:v>46274.42717592593</x:v>
      </x:c>
      <x:c r="D114" s="2" t="str">
        <x:v>工业硅</x:v>
      </x:c>
      <x:c r="E114" s="2" t="str">
        <x:v>SI2611</x:v>
      </x:c>
      <x:c r="F114" s="2" t="str">
        <x:v>苏冰</x:v>
      </x:c>
      <x:c r="G114" s="2" t="str">
        <x:v>15m</x:v>
      </x:c>
      <x:c r="H114" s="2" t="str">
        <x:v>空头</x:v>
      </x:c>
      <x:c r="I114" s="2" t="n">
        <x:v>-1</x:v>
      </x:c>
      <x:c r="J114" s="10" t="n">
        <x:v>46274.427083333336</x:v>
      </x:c>
      <x:c r="K114" s="11"/>
      <x:c r="L114" s="10" t="n">
        <x:v>46274.43819444445</x:v>
      </x:c>
      <x:c r="M114" s="11"/>
      <x:c r="N114" s="11"/>
      <x:c r="O114" s="5" t="str">
        <x:f>IF(N114="","",I114*(N114/M114-1))</x:f>
      </x:c>
      <x:c r="P114" s="11"/>
      <x:c r="Q114" s="5" t="str">
        <x:f>IF(P114="","",I114*(P114/M114-1))</x:f>
      </x:c>
      <x:c r="R114" s="11"/>
      <x:c r="S114" s="5" t="str">
        <x:f>IF(R114="","",I114*(R114/M114-1))</x:f>
      </x:c>
      <x:c r="T114" s="2" t="str">
        <x:f>IF(R114="",AK114,IF(S114&gt;0,"有利",IF(S114&lt;0,"不利","持平")))</x:f>
        <x:v>数据不足</x:v>
      </x:c>
      <x:c r="U114" s="5"/>
      <x:c r="V114" s="5"/>
      <x:c r="W114" s="2" t="str">
        <x:v>本次未复算；前次：前次复算一致，本次未重算</x:v>
      </x:c>
      <x:c r="X114" s="2" t="str">
        <x:v>逐条结果未留存</x:v>
      </x:c>
      <x:c r="Y114" s="10"/>
      <x:c r="Z114" s="10"/>
      <x:c r="AA114" s="10"/>
      <x:c r="AB114" s="12" t="n">
        <x:v>8.611106</x:v>
      </x:c>
      <x:c r="AC114" s="2" t="str">
        <x:v>subing_ths_alert_15m_v1</x:v>
      </x:c>
      <x:c r="AD114" s="5"/>
      <x:c r="AE114" s="5"/>
      <x:c r="AF114" s="5"/>
      <x:c r="AG114" s="2" t="str">
        <x:v>此前已有</x:v>
      </x:c>
      <x:c r="AH114" s="4" t="n">
        <x:v>46274</x:v>
      </x:c>
      <x:c r="AI114" s="2" t="str">
        <x:v>数据不足</x:v>
      </x:c>
      <x:c r="AJ114" s="2" t="str">
        <x:v>数据不足</x:v>
      </x:c>
      <x:c r="AK114" s="2" t="str">
        <x:v>数据不足</x:v>
      </x:c>
      <x:c r="AL114" s="5"/>
      <x:c r="AM114" s="5"/>
      <x:c r="AN114" s="5"/>
      <x:c r="AO114" s="2" t="str">
        <x:v>C134</x:v>
      </x:c>
      <x:c r="AP114" s="2" t="n">
        <x:v>1</x:v>
      </x:c>
    </x:row>
    <x:row r="115" ht="26" customHeight="1">
      <x:c r="A115" s="2" t="n">
        <x:v>135</x:v>
      </x:c>
      <x:c r="B115" s="4" t="n">
        <x:v>46274</x:v>
      </x:c>
      <x:c r="C115" s="10" t="n">
        <x:v>46274.447962962964</x:v>
      </x:c>
      <x:c r="D115" s="2" t="str">
        <x:v>豆二</x:v>
      </x:c>
      <x:c r="E115" s="2" t="str">
        <x:v>B2611</x:v>
      </x:c>
      <x:c r="F115" s="2" t="str">
        <x:v>苏冰</x:v>
      </x:c>
      <x:c r="G115" s="2" t="str">
        <x:v>15m</x:v>
      </x:c>
      <x:c r="H115" s="2" t="str">
        <x:v>多头</x:v>
      </x:c>
      <x:c r="I115" s="2" t="n">
        <x:v>1</x:v>
      </x:c>
      <x:c r="J115" s="10" t="n">
        <x:v>46274.447916666664</x:v>
      </x:c>
      <x:c r="K115" s="11"/>
      <x:c r="L115" s="10" t="n">
        <x:v>46274.44861111111</x:v>
      </x:c>
      <x:c r="M115" s="11"/>
      <x:c r="N115" s="11"/>
      <x:c r="O115" s="5" t="str">
        <x:f>IF(N115="","",I115*(N115/M115-1))</x:f>
      </x:c>
      <x:c r="P115" s="11"/>
      <x:c r="Q115" s="5" t="str">
        <x:f>IF(P115="","",I115*(P115/M115-1))</x:f>
      </x:c>
      <x:c r="R115" s="11"/>
      <x:c r="S115" s="5" t="str">
        <x:f>IF(R115="","",I115*(R115/M115-1))</x:f>
      </x:c>
      <x:c r="T115" s="2" t="str">
        <x:f>IF(R115="",AK115,IF(S115&gt;0,"有利",IF(S115&lt;0,"不利","持平")))</x:f>
        <x:v>数据不足</x:v>
      </x:c>
      <x:c r="U115" s="5"/>
      <x:c r="V115" s="5"/>
      <x:c r="W115" s="2" t="str">
        <x:v>本次未复算；前次：前次复算一致，本次未重算</x:v>
      </x:c>
      <x:c r="X115" s="2" t="str">
        <x:v>逐条结果未留存</x:v>
      </x:c>
      <x:c r="Y115" s="10"/>
      <x:c r="Z115" s="10"/>
      <x:c r="AA115" s="10"/>
      <x:c r="AB115" s="12" t="n">
        <x:v>4.868639</x:v>
      </x:c>
      <x:c r="AC115" s="2" t="str">
        <x:v>subing_ths_alert_15m_v1</x:v>
      </x:c>
      <x:c r="AD115" s="5"/>
      <x:c r="AE115" s="5"/>
      <x:c r="AF115" s="5"/>
      <x:c r="AG115" s="2" t="str">
        <x:v>此前已有</x:v>
      </x:c>
      <x:c r="AH115" s="4" t="n">
        <x:v>46274</x:v>
      </x:c>
      <x:c r="AI115" s="2" t="str">
        <x:v>数据不足</x:v>
      </x:c>
      <x:c r="AJ115" s="2" t="str">
        <x:v>数据不足</x:v>
      </x:c>
      <x:c r="AK115" s="2" t="str">
        <x:v>数据不足</x:v>
      </x:c>
      <x:c r="AL115" s="5"/>
      <x:c r="AM115" s="5"/>
      <x:c r="AN115" s="5"/>
      <x:c r="AO115" s="2" t="str">
        <x:v>C135</x:v>
      </x:c>
      <x:c r="AP115" s="2" t="n">
        <x:v>1</x:v>
      </x:c>
    </x:row>
    <x:row r="116" ht="26" customHeight="1">
      <x:c r="A116" s="2" t="n">
        <x:v>136</x:v>
      </x:c>
      <x:c r="B116" s="4" t="n">
        <x:v>46274</x:v>
      </x:c>
      <x:c r="C116" s="10" t="n">
        <x:v>46274.45837962963</x:v>
      </x:c>
      <x:c r="D116" s="2" t="str">
        <x:v>菜粕</x:v>
      </x:c>
      <x:c r="E116" s="2" t="str">
        <x:v>RM2611</x:v>
      </x:c>
      <x:c r="F116" s="2" t="str">
        <x:v>苏冰</x:v>
      </x:c>
      <x:c r="G116" s="2" t="str">
        <x:v>15m</x:v>
      </x:c>
      <x:c r="H116" s="2" t="str">
        <x:v>多头</x:v>
      </x:c>
      <x:c r="I116" s="2" t="n">
        <x:v>1</x:v>
      </x:c>
      <x:c r="J116" s="10" t="n">
        <x:v>46274.458333333336</x:v>
      </x:c>
      <x:c r="K116" s="11"/>
      <x:c r="L116" s="10" t="n">
        <x:v>46274.459027777775</x:v>
      </x:c>
      <x:c r="M116" s="11"/>
      <x:c r="N116" s="11"/>
      <x:c r="O116" s="5" t="str">
        <x:f>IF(N116="","",I116*(N116/M116-1))</x:f>
      </x:c>
      <x:c r="P116" s="11"/>
      <x:c r="Q116" s="5" t="str">
        <x:f>IF(P116="","",I116*(P116/M116-1))</x:f>
      </x:c>
      <x:c r="R116" s="11"/>
      <x:c r="S116" s="5" t="str">
        <x:f>IF(R116="","",I116*(R116/M116-1))</x:f>
      </x:c>
      <x:c r="T116" s="2" t="str">
        <x:f>IF(R116="",AK116,IF(S116&gt;0,"有利",IF(S116&lt;0,"不利","持平")))</x:f>
        <x:v>数据不足</x:v>
      </x:c>
      <x:c r="U116" s="5"/>
      <x:c r="V116" s="5"/>
      <x:c r="W116" s="2" t="str">
        <x:v>本次未复算；前次：前次复算一致，本次未重算</x:v>
      </x:c>
      <x:c r="X116" s="2" t="str">
        <x:v>逐条结果未留存</x:v>
      </x:c>
      <x:c r="Y116" s="10"/>
      <x:c r="Z116" s="10"/>
      <x:c r="AA116" s="10"/>
      <x:c r="AB116" s="12" t="n">
        <x:v>4.031111</x:v>
      </x:c>
      <x:c r="AC116" s="2" t="str">
        <x:v>subing_ths_alert_15m_v1</x:v>
      </x:c>
      <x:c r="AD116" s="5"/>
      <x:c r="AE116" s="5"/>
      <x:c r="AF116" s="5"/>
      <x:c r="AG116" s="2" t="str">
        <x:v>此前已有</x:v>
      </x:c>
      <x:c r="AH116" s="4" t="n">
        <x:v>46274</x:v>
      </x:c>
      <x:c r="AI116" s="2" t="str">
        <x:v>数据不足</x:v>
      </x:c>
      <x:c r="AJ116" s="2" t="str">
        <x:v>数据不足</x:v>
      </x:c>
      <x:c r="AK116" s="2" t="str">
        <x:v>数据不足</x:v>
      </x:c>
      <x:c r="AL116" s="5"/>
      <x:c r="AM116" s="5"/>
      <x:c r="AN116" s="5"/>
      <x:c r="AO116" s="2" t="str">
        <x:v>C136</x:v>
      </x:c>
      <x:c r="AP116" s="2" t="n">
        <x:v>1</x:v>
      </x:c>
    </x:row>
    <x:row r="117" ht="26" customHeight="1">
      <x:c r="A117" s="2" t="n">
        <x:v>137</x:v>
      </x:c>
      <x:c r="B117" s="4" t="n">
        <x:v>46274</x:v>
      </x:c>
      <x:c r="C117" s="10" t="n">
        <x:v>46274.45842592593</x:v>
      </x:c>
      <x:c r="D117" s="2" t="str">
        <x:v>白银</x:v>
      </x:c>
      <x:c r="E117" s="2" t="str">
        <x:v>AG2610</x:v>
      </x:c>
      <x:c r="F117" s="2" t="str">
        <x:v>苏冰</x:v>
      </x:c>
      <x:c r="G117" s="2" t="str">
        <x:v>15m</x:v>
      </x:c>
      <x:c r="H117" s="2" t="str">
        <x:v>多头</x:v>
      </x:c>
      <x:c r="I117" s="2" t="n">
        <x:v>1</x:v>
      </x:c>
      <x:c r="J117" s="10" t="n">
        <x:v>46274.458333333336</x:v>
      </x:c>
      <x:c r="K117" s="11"/>
      <x:c r="L117" s="10" t="n">
        <x:v>46274.459027777775</x:v>
      </x:c>
      <x:c r="M117" s="11"/>
      <x:c r="N117" s="11"/>
      <x:c r="O117" s="5" t="str">
        <x:f>IF(N117="","",I117*(N117/M117-1))</x:f>
      </x:c>
      <x:c r="P117" s="11"/>
      <x:c r="Q117" s="5" t="str">
        <x:f>IF(P117="","",I117*(P117/M117-1))</x:f>
      </x:c>
      <x:c r="R117" s="11"/>
      <x:c r="S117" s="5" t="str">
        <x:f>IF(R117="","",I117*(R117/M117-1))</x:f>
      </x:c>
      <x:c r="T117" s="2" t="str">
        <x:f>IF(R117="",AK117,IF(S117&gt;0,"有利",IF(S117&lt;0,"不利","持平")))</x:f>
        <x:v>数据不足</x:v>
      </x:c>
      <x:c r="U117" s="5"/>
      <x:c r="V117" s="5"/>
      <x:c r="W117" s="2" t="str">
        <x:v>本次未复算；前次：前次复算一致，本次未重算</x:v>
      </x:c>
      <x:c r="X117" s="2" t="str">
        <x:v>逐条结果未留存</x:v>
      </x:c>
      <x:c r="Y117" s="10"/>
      <x:c r="Z117" s="10"/>
      <x:c r="AA117" s="10"/>
      <x:c r="AB117" s="12" t="n">
        <x:v>8.162452</x:v>
      </x:c>
      <x:c r="AC117" s="2" t="str">
        <x:v>subing_ths_alert_15m_v1</x:v>
      </x:c>
      <x:c r="AD117" s="5"/>
      <x:c r="AE117" s="5"/>
      <x:c r="AF117" s="5"/>
      <x:c r="AG117" s="2" t="str">
        <x:v>此前已有</x:v>
      </x:c>
      <x:c r="AH117" s="4" t="n">
        <x:v>46274</x:v>
      </x:c>
      <x:c r="AI117" s="2" t="str">
        <x:v>数据不足</x:v>
      </x:c>
      <x:c r="AJ117" s="2" t="str">
        <x:v>数据不足</x:v>
      </x:c>
      <x:c r="AK117" s="2" t="str">
        <x:v>数据不足</x:v>
      </x:c>
      <x:c r="AL117" s="5"/>
      <x:c r="AM117" s="5"/>
      <x:c r="AN117" s="5"/>
      <x:c r="AO117" s="2" t="str">
        <x:v>C137</x:v>
      </x:c>
      <x:c r="AP117" s="2" t="n">
        <x:v>1</x:v>
      </x:c>
    </x:row>
    <x:row r="118" ht="26" customHeight="1">
      <x:c r="A118" s="2" t="n">
        <x:v>138</x:v>
      </x:c>
      <x:c r="B118" s="4" t="n">
        <x:v>46274</x:v>
      </x:c>
      <x:c r="C118" s="10" t="n">
        <x:v>46274.4584837963</x:v>
      </x:c>
      <x:c r="D118" s="2" t="str">
        <x:v>焦煤</x:v>
      </x:c>
      <x:c r="E118" s="2" t="str">
        <x:v>JM2701</x:v>
      </x:c>
      <x:c r="F118" s="2" t="str">
        <x:v>火天大有</x:v>
      </x:c>
      <x:c r="G118" s="2" t="str">
        <x:v>15m</x:v>
      </x:c>
      <x:c r="H118" s="2" t="str">
        <x:v>多头</x:v>
      </x:c>
      <x:c r="I118" s="2" t="n">
        <x:v>1</x:v>
      </x:c>
      <x:c r="J118" s="10" t="n">
        <x:v>46274.458333333336</x:v>
      </x:c>
      <x:c r="K118" s="11"/>
      <x:c r="L118" s="10" t="n">
        <x:v>46274.459027777775</x:v>
      </x:c>
      <x:c r="M118" s="11"/>
      <x:c r="N118" s="11"/>
      <x:c r="O118" s="5" t="str">
        <x:f>IF(N118="","",I118*(N118/M118-1))</x:f>
      </x:c>
      <x:c r="P118" s="11"/>
      <x:c r="Q118" s="5" t="str">
        <x:f>IF(P118="","",I118*(P118/M118-1))</x:f>
      </x:c>
      <x:c r="R118" s="11"/>
      <x:c r="S118" s="5" t="str">
        <x:f>IF(R118="","",I118*(R118/M118-1))</x:f>
      </x:c>
      <x:c r="T118" s="2" t="str">
        <x:f>IF(R118="",AK118,IF(S118&gt;0,"有利",IF(S118&lt;0,"不利","持平")))</x:f>
        <x:v>数据不足</x:v>
      </x:c>
      <x:c r="U118" s="5"/>
      <x:c r="V118" s="5"/>
      <x:c r="W118" s="2" t="str">
        <x:v>本次未复算；前次：公式复算数据不足</x:v>
      </x:c>
      <x:c r="X118" s="2" t="str">
        <x:v>逐条结果未留存</x:v>
      </x:c>
      <x:c r="Y118" s="10"/>
      <x:c r="Z118" s="10"/>
      <x:c r="AA118" s="10"/>
      <x:c r="AB118" s="12" t="n">
        <x:v>13.397988</x:v>
      </x:c>
      <x:c r="AC118" s="2" t="str">
        <x:v>htdy_original_15m</x:v>
      </x:c>
      <x:c r="AD118" s="5"/>
      <x:c r="AE118" s="5"/>
      <x:c r="AF118" s="5"/>
      <x:c r="AG118" s="2" t="str">
        <x:v>此前已有</x:v>
      </x:c>
      <x:c r="AH118" s="4" t="n">
        <x:v>46274</x:v>
      </x:c>
      <x:c r="AI118" s="2" t="str">
        <x:v>数据不足</x:v>
      </x:c>
      <x:c r="AJ118" s="2" t="str">
        <x:v>数据不足</x:v>
      </x:c>
      <x:c r="AK118" s="2" t="str">
        <x:v>数据不足</x:v>
      </x:c>
      <x:c r="AL118" s="5"/>
      <x:c r="AM118" s="5"/>
      <x:c r="AN118" s="5"/>
      <x:c r="AO118" s="2" t="str">
        <x:v>C138</x:v>
      </x:c>
      <x:c r="AP118" s="2" t="n">
        <x:v>1</x:v>
      </x:c>
    </x:row>
    <x:row r="119" ht="26" customHeight="1">
      <x:c r="A119" s="2" t="n">
        <x:v>139</x:v>
      </x:c>
      <x:c r="B119" s="4" t="n">
        <x:v>46274</x:v>
      </x:c>
      <x:c r="C119" s="10" t="n">
        <x:v>46274.45849537037</x:v>
      </x:c>
      <x:c r="D119" s="2" t="str">
        <x:v>豆粕</x:v>
      </x:c>
      <x:c r="E119" s="2" t="str">
        <x:v>M2701</x:v>
      </x:c>
      <x:c r="F119" s="2" t="str">
        <x:v>苏冰</x:v>
      </x:c>
      <x:c r="G119" s="2" t="str">
        <x:v>15m</x:v>
      </x:c>
      <x:c r="H119" s="2" t="str">
        <x:v>多头</x:v>
      </x:c>
      <x:c r="I119" s="2" t="n">
        <x:v>1</x:v>
      </x:c>
      <x:c r="J119" s="10" t="n">
        <x:v>46274.458333333336</x:v>
      </x:c>
      <x:c r="K119" s="11"/>
      <x:c r="L119" s="10" t="n">
        <x:v>46274.459027777775</x:v>
      </x:c>
      <x:c r="M119" s="11"/>
      <x:c r="N119" s="11"/>
      <x:c r="O119" s="5" t="str">
        <x:f>IF(N119="","",I119*(N119/M119-1))</x:f>
      </x:c>
      <x:c r="P119" s="11"/>
      <x:c r="Q119" s="5" t="str">
        <x:f>IF(P119="","",I119*(P119/M119-1))</x:f>
      </x:c>
      <x:c r="R119" s="11"/>
      <x:c r="S119" s="5" t="str">
        <x:f>IF(R119="","",I119*(R119/M119-1))</x:f>
      </x:c>
      <x:c r="T119" s="2" t="str">
        <x:f>IF(R119="",AK119,IF(S119&gt;0,"有利",IF(S119&lt;0,"不利","持平")))</x:f>
        <x:v>数据不足</x:v>
      </x:c>
      <x:c r="U119" s="5"/>
      <x:c r="V119" s="5"/>
      <x:c r="W119" s="2" t="str">
        <x:v>本次未复算；前次：前次复算一致，本次未重算</x:v>
      </x:c>
      <x:c r="X119" s="2" t="str">
        <x:v>逐条结果未留存</x:v>
      </x:c>
      <x:c r="Y119" s="10"/>
      <x:c r="Z119" s="10"/>
      <x:c r="AA119" s="10"/>
      <x:c r="AB119" s="12" t="n">
        <x:v>14.479231</x:v>
      </x:c>
      <x:c r="AC119" s="2" t="str">
        <x:v>subing_ths_alert_15m_v1</x:v>
      </x:c>
      <x:c r="AD119" s="5"/>
      <x:c r="AE119" s="5"/>
      <x:c r="AF119" s="5"/>
      <x:c r="AG119" s="2" t="str">
        <x:v>此前已有</x:v>
      </x:c>
      <x:c r="AH119" s="4" t="n">
        <x:v>46274</x:v>
      </x:c>
      <x:c r="AI119" s="2" t="str">
        <x:v>数据不足</x:v>
      </x:c>
      <x:c r="AJ119" s="2" t="str">
        <x:v>数据不足</x:v>
      </x:c>
      <x:c r="AK119" s="2" t="str">
        <x:v>数据不足</x:v>
      </x:c>
      <x:c r="AL119" s="5"/>
      <x:c r="AM119" s="5"/>
      <x:c r="AN119" s="5"/>
      <x:c r="AO119" s="2" t="str">
        <x:v>C139</x:v>
      </x:c>
      <x:c r="AP119" s="2" t="n">
        <x:v>1</x:v>
      </x:c>
    </x:row>
    <x:row r="120" ht="26" customHeight="1">
      <x:c r="A120" s="2" t="n">
        <x:v>140</x:v>
      </x:c>
      <x:c r="B120" s="4" t="n">
        <x:v>46274</x:v>
      </x:c>
      <x:c r="C120" s="10" t="n">
        <x:v>46274.468831018516</x:v>
      </x:c>
      <x:c r="D120" s="2" t="str">
        <x:v>乙二醇</x:v>
      </x:c>
      <x:c r="E120" s="2" t="str">
        <x:v>EG2610</x:v>
      </x:c>
      <x:c r="F120" s="2" t="str">
        <x:v>苏冰</x:v>
      </x:c>
      <x:c r="G120" s="2" t="str">
        <x:v>15m</x:v>
      </x:c>
      <x:c r="H120" s="2" t="str">
        <x:v>多头</x:v>
      </x:c>
      <x:c r="I120" s="2" t="n">
        <x:v>1</x:v>
      </x:c>
      <x:c r="J120" s="10" t="n">
        <x:v>46274.46875</x:v>
      </x:c>
      <x:c r="K120" s="11"/>
      <x:c r="L120" s="10" t="n">
        <x:v>46274.46944444445</x:v>
      </x:c>
      <x:c r="M120" s="11"/>
      <x:c r="N120" s="11"/>
      <x:c r="O120" s="5" t="str">
        <x:f>IF(N120="","",I120*(N120/M120-1))</x:f>
      </x:c>
      <x:c r="P120" s="11"/>
      <x:c r="Q120" s="5" t="str">
        <x:f>IF(P120="","",I120*(P120/M120-1))</x:f>
      </x:c>
      <x:c r="R120" s="11"/>
      <x:c r="S120" s="5" t="str">
        <x:f>IF(R120="","",I120*(R120/M120-1))</x:f>
      </x:c>
      <x:c r="T120" s="2" t="str">
        <x:f>IF(R120="",AK120,IF(S120&gt;0,"有利",IF(S120&lt;0,"不利","持平")))</x:f>
        <x:v>数据不足</x:v>
      </x:c>
      <x:c r="U120" s="5"/>
      <x:c r="V120" s="5"/>
      <x:c r="W120" s="2" t="str">
        <x:v>本次未复算；前次：前次复算一致，本次未重算</x:v>
      </x:c>
      <x:c r="X120" s="2" t="str">
        <x:v>逐条结果未留存</x:v>
      </x:c>
      <x:c r="Y120" s="10"/>
      <x:c r="Z120" s="10"/>
      <x:c r="AA120" s="10"/>
      <x:c r="AB120" s="12" t="n">
        <x:v>7.069551</x:v>
      </x:c>
      <x:c r="AC120" s="2" t="str">
        <x:v>subing_ths_alert_15m_v1</x:v>
      </x:c>
      <x:c r="AD120" s="5"/>
      <x:c r="AE120" s="5"/>
      <x:c r="AF120" s="5"/>
      <x:c r="AG120" s="2" t="str">
        <x:v>此前已有</x:v>
      </x:c>
      <x:c r="AH120" s="4" t="n">
        <x:v>46274</x:v>
      </x:c>
      <x:c r="AI120" s="2" t="str">
        <x:v>数据不足</x:v>
      </x:c>
      <x:c r="AJ120" s="2" t="str">
        <x:v>数据不足</x:v>
      </x:c>
      <x:c r="AK120" s="2" t="str">
        <x:v>数据不足</x:v>
      </x:c>
      <x:c r="AL120" s="5"/>
      <x:c r="AM120" s="5"/>
      <x:c r="AN120" s="5"/>
      <x:c r="AO120" s="2" t="str">
        <x:v>C140</x:v>
      </x:c>
      <x:c r="AP120" s="2" t="n">
        <x:v>1</x:v>
      </x:c>
    </x:row>
    <x:row r="121" ht="26" customHeight="1">
      <x:c r="A121" s="2" t="n">
        <x:v>141</x:v>
      </x:c>
      <x:c r="B121" s="4" t="n">
        <x:v>46274</x:v>
      </x:c>
      <x:c r="C121" s="10" t="n">
        <x:v>46274.46884259259</x:v>
      </x:c>
      <x:c r="D121" s="2" t="str">
        <x:v>碳酸锂</x:v>
      </x:c>
      <x:c r="E121" s="2" t="str">
        <x:v>LC2701</x:v>
      </x:c>
      <x:c r="F121" s="2" t="str">
        <x:v>苏冰</x:v>
      </x:c>
      <x:c r="G121" s="2" t="str">
        <x:v>15m</x:v>
      </x:c>
      <x:c r="H121" s="2" t="str">
        <x:v>空头</x:v>
      </x:c>
      <x:c r="I121" s="2" t="n">
        <x:v>-1</x:v>
      </x:c>
      <x:c r="J121" s="10" t="n">
        <x:v>46274.46875</x:v>
      </x:c>
      <x:c r="K121" s="11"/>
      <x:c r="L121" s="10" t="n">
        <x:v>46274.46944444445</x:v>
      </x:c>
      <x:c r="M121" s="11"/>
      <x:c r="N121" s="11"/>
      <x:c r="O121" s="5" t="str">
        <x:f>IF(N121="","",I121*(N121/M121-1))</x:f>
      </x:c>
      <x:c r="P121" s="11"/>
      <x:c r="Q121" s="5" t="str">
        <x:f>IF(P121="","",I121*(P121/M121-1))</x:f>
      </x:c>
      <x:c r="R121" s="11"/>
      <x:c r="S121" s="5" t="str">
        <x:f>IF(R121="","",I121*(R121/M121-1))</x:f>
      </x:c>
      <x:c r="T121" s="2" t="str">
        <x:f>IF(R121="",AK121,IF(S121&gt;0,"有利",IF(S121&lt;0,"不利","持平")))</x:f>
        <x:v>数据不足</x:v>
      </x:c>
      <x:c r="U121" s="5"/>
      <x:c r="V121" s="5"/>
      <x:c r="W121" s="2" t="str">
        <x:v>本次未复算；前次：前次复算一致，本次未重算</x:v>
      </x:c>
      <x:c r="X121" s="2" t="str">
        <x:v>逐条结果未留存</x:v>
      </x:c>
      <x:c r="Y121" s="10"/>
      <x:c r="Z121" s="10"/>
      <x:c r="AA121" s="10"/>
      <x:c r="AB121" s="12" t="n">
        <x:v>8.482487</x:v>
      </x:c>
      <x:c r="AC121" s="2" t="str">
        <x:v>subing_ths_alert_15m_v1</x:v>
      </x:c>
      <x:c r="AD121" s="5"/>
      <x:c r="AE121" s="5"/>
      <x:c r="AF121" s="5"/>
      <x:c r="AG121" s="2" t="str">
        <x:v>此前已有</x:v>
      </x:c>
      <x:c r="AH121" s="4" t="n">
        <x:v>46274</x:v>
      </x:c>
      <x:c r="AI121" s="2" t="str">
        <x:v>数据不足</x:v>
      </x:c>
      <x:c r="AJ121" s="2" t="str">
        <x:v>数据不足</x:v>
      </x:c>
      <x:c r="AK121" s="2" t="str">
        <x:v>数据不足</x:v>
      </x:c>
      <x:c r="AL121" s="5"/>
      <x:c r="AM121" s="5"/>
      <x:c r="AN121" s="5"/>
      <x:c r="AO121" s="2" t="str">
        <x:v>C141</x:v>
      </x:c>
      <x:c r="AP121" s="2" t="n">
        <x:v>1</x:v>
      </x:c>
    </x:row>
    <x:row r="122" ht="26" customHeight="1">
      <x:c r="A122" s="2" t="n">
        <x:v>142</x:v>
      </x:c>
      <x:c r="B122" s="4" t="n">
        <x:v>46274</x:v>
      </x:c>
      <x:c r="C122" s="10" t="n">
        <x:v>46274.57310185185</x:v>
      </x:c>
      <x:c r="D122" s="2" t="str">
        <x:v>焦煤</x:v>
      </x:c>
      <x:c r="E122" s="2" t="str">
        <x:v>JM2701</x:v>
      </x:c>
      <x:c r="F122" s="2" t="str">
        <x:v>火天大有</x:v>
      </x:c>
      <x:c r="G122" s="2" t="str">
        <x:v>5m</x:v>
      </x:c>
      <x:c r="H122" s="2" t="str">
        <x:v>多头</x:v>
      </x:c>
      <x:c r="I122" s="2" t="n">
        <x:v>1</x:v>
      </x:c>
      <x:c r="J122" s="10" t="n">
        <x:v>46274.572916666664</x:v>
      </x:c>
      <x:c r="K122" s="11"/>
      <x:c r="L122" s="10" t="n">
        <x:v>46274.57361111111</x:v>
      </x:c>
      <x:c r="M122" s="11"/>
      <x:c r="N122" s="11"/>
      <x:c r="O122" s="5" t="str">
        <x:f>IF(N122="","",I122*(N122/M122-1))</x:f>
      </x:c>
      <x:c r="P122" s="11"/>
      <x:c r="Q122" s="5" t="str">
        <x:f>IF(P122="","",I122*(P122/M122-1))</x:f>
      </x:c>
      <x:c r="R122" s="11"/>
      <x:c r="S122" s="5" t="str">
        <x:f>IF(R122="","",I122*(R122/M122-1))</x:f>
      </x:c>
      <x:c r="T122" s="2" t="str">
        <x:f>IF(R122="",AK122,IF(S122&gt;0,"有利",IF(S122&lt;0,"不利","持平")))</x:f>
        <x:v>数据不足</x:v>
      </x:c>
      <x:c r="U122" s="5"/>
      <x:c r="V122" s="5"/>
      <x:c r="W122" s="2" t="str">
        <x:v>本次未复算；前次：公式复算数据不足</x:v>
      </x:c>
      <x:c r="X122" s="2" t="str">
        <x:v>逐条结果未留存</x:v>
      </x:c>
      <x:c r="Y122" s="10"/>
      <x:c r="Z122" s="10"/>
      <x:c r="AA122" s="10"/>
      <x:c r="AB122" s="12" t="n">
        <x:v>16.291424</x:v>
      </x:c>
      <x:c r="AC122" s="2" t="str">
        <x:v>htdy_original_15m</x:v>
      </x:c>
      <x:c r="AD122" s="5"/>
      <x:c r="AE122" s="5"/>
      <x:c r="AF122" s="5"/>
      <x:c r="AG122" s="2" t="str">
        <x:v>此前已有</x:v>
      </x:c>
      <x:c r="AH122" s="4" t="n">
        <x:v>46274</x:v>
      </x:c>
      <x:c r="AI122" s="2" t="str">
        <x:v>数据不足</x:v>
      </x:c>
      <x:c r="AJ122" s="2" t="str">
        <x:v>数据不足</x:v>
      </x:c>
      <x:c r="AK122" s="2" t="str">
        <x:v>数据不足</x:v>
      </x:c>
      <x:c r="AL122" s="5"/>
      <x:c r="AM122" s="5"/>
      <x:c r="AN122" s="5"/>
      <x:c r="AO122" s="2" t="str">
        <x:v>C142</x:v>
      </x:c>
      <x:c r="AP122" s="2" t="n">
        <x:v>1</x:v>
      </x:c>
    </x:row>
    <x:row r="123" ht="26" customHeight="1">
      <x:c r="A123" s="2" t="n">
        <x:v>143</x:v>
      </x:c>
      <x:c r="B123" s="4" t="n">
        <x:v>46274</x:v>
      </x:c>
      <x:c r="C123" s="10" t="n">
        <x:v>46274.57314814815</x:v>
      </x:c>
      <x:c r="D123" s="2" t="str">
        <x:v>集运欧线</x:v>
      </x:c>
      <x:c r="E123" s="2" t="str">
        <x:v>EC2610</x:v>
      </x:c>
      <x:c r="F123" s="2" t="str">
        <x:v>苏冰</x:v>
      </x:c>
      <x:c r="G123" s="2" t="str">
        <x:v>15m</x:v>
      </x:c>
      <x:c r="H123" s="2" t="str">
        <x:v>空头</x:v>
      </x:c>
      <x:c r="I123" s="2" t="n">
        <x:v>-1</x:v>
      </x:c>
      <x:c r="J123" s="10" t="n">
        <x:v>46274.572916666664</x:v>
      </x:c>
      <x:c r="K123" s="11"/>
      <x:c r="L123" s="10" t="n">
        <x:v>46274.57361111111</x:v>
      </x:c>
      <x:c r="M123" s="11"/>
      <x:c r="N123" s="11"/>
      <x:c r="O123" s="5" t="str">
        <x:f>IF(N123="","",I123*(N123/M123-1))</x:f>
      </x:c>
      <x:c r="P123" s="11"/>
      <x:c r="Q123" s="5" t="str">
        <x:f>IF(P123="","",I123*(P123/M123-1))</x:f>
      </x:c>
      <x:c r="R123" s="11"/>
      <x:c r="S123" s="5" t="str">
        <x:f>IF(R123="","",I123*(R123/M123-1))</x:f>
      </x:c>
      <x:c r="T123" s="2" t="str">
        <x:f>IF(R123="",AK123,IF(S123&gt;0,"有利",IF(S123&lt;0,"不利","持平")))</x:f>
        <x:v>数据不足</x:v>
      </x:c>
      <x:c r="U123" s="5"/>
      <x:c r="V123" s="5"/>
      <x:c r="W123" s="2" t="str">
        <x:v>本次未复算；前次：前次复算一致，本次未重算</x:v>
      </x:c>
      <x:c r="X123" s="2" t="str">
        <x:v>逐条结果未留存</x:v>
      </x:c>
      <x:c r="Y123" s="10"/>
      <x:c r="Z123" s="10"/>
      <x:c r="AA123" s="10"/>
      <x:c r="AB123" s="12" t="n">
        <x:v>20.065034</x:v>
      </x:c>
      <x:c r="AC123" s="2" t="str">
        <x:v>subing_ths_alert_15m_v1</x:v>
      </x:c>
      <x:c r="AD123" s="5"/>
      <x:c r="AE123" s="5"/>
      <x:c r="AF123" s="5"/>
      <x:c r="AG123" s="2" t="str">
        <x:v>此前已有</x:v>
      </x:c>
      <x:c r="AH123" s="4" t="n">
        <x:v>46274</x:v>
      </x:c>
      <x:c r="AI123" s="2" t="str">
        <x:v>数据不足</x:v>
      </x:c>
      <x:c r="AJ123" s="2" t="str">
        <x:v>数据不足</x:v>
      </x:c>
      <x:c r="AK123" s="2" t="str">
        <x:v>数据不足</x:v>
      </x:c>
      <x:c r="AL123" s="5"/>
      <x:c r="AM123" s="5"/>
      <x:c r="AN123" s="5"/>
      <x:c r="AO123" s="2" t="str">
        <x:v>C143</x:v>
      </x:c>
      <x:c r="AP123" s="2" t="n">
        <x:v>1</x:v>
      </x:c>
    </x:row>
    <x:row r="124" ht="26" customHeight="1">
      <x:c r="A124" s="2" t="n">
        <x:v>144</x:v>
      </x:c>
      <x:c r="B124" s="4" t="n">
        <x:v>46274</x:v>
      </x:c>
      <x:c r="C124" s="10" t="n">
        <x:v>46274.58341435185</x:v>
      </x:c>
      <x:c r="D124" s="2" t="str">
        <x:v>乙二醇</x:v>
      </x:c>
      <x:c r="E124" s="2" t="str">
        <x:v>EG2610</x:v>
      </x:c>
      <x:c r="F124" s="2" t="str">
        <x:v>苏冰</x:v>
      </x:c>
      <x:c r="G124" s="2" t="str">
        <x:v>15m</x:v>
      </x:c>
      <x:c r="H124" s="2" t="str">
        <x:v>空头</x:v>
      </x:c>
      <x:c r="I124" s="2" t="n">
        <x:v>-1</x:v>
      </x:c>
      <x:c r="J124" s="10" t="n">
        <x:v>46274.583333333336</x:v>
      </x:c>
      <x:c r="K124" s="11"/>
      <x:c r="L124" s="10" t="n">
        <x:v>46274.584027777775</x:v>
      </x:c>
      <x:c r="M124" s="11"/>
      <x:c r="N124" s="11"/>
      <x:c r="O124" s="5" t="str">
        <x:f>IF(N124="","",I124*(N124/M124-1))</x:f>
      </x:c>
      <x:c r="P124" s="11"/>
      <x:c r="Q124" s="5" t="str">
        <x:f>IF(P124="","",I124*(P124/M124-1))</x:f>
      </x:c>
      <x:c r="R124" s="11"/>
      <x:c r="S124" s="5" t="str">
        <x:f>IF(R124="","",I124*(R124/M124-1))</x:f>
      </x:c>
      <x:c r="T124" s="2" t="str">
        <x:f>IF(R124="",AK124,IF(S124&gt;0,"有利",IF(S124&lt;0,"不利","持平")))</x:f>
        <x:v>数据不足</x:v>
      </x:c>
      <x:c r="U124" s="5"/>
      <x:c r="V124" s="5"/>
      <x:c r="W124" s="2" t="str">
        <x:v>本次未复算；前次：前次复算一致，本次未重算</x:v>
      </x:c>
      <x:c r="X124" s="2" t="str">
        <x:v>逐条结果未留存</x:v>
      </x:c>
      <x:c r="Y124" s="10"/>
      <x:c r="Z124" s="10"/>
      <x:c r="AA124" s="10"/>
      <x:c r="AB124" s="12" t="n">
        <x:v>7.950445</x:v>
      </x:c>
      <x:c r="AC124" s="2" t="str">
        <x:v>subing_ths_alert_15m_v1</x:v>
      </x:c>
      <x:c r="AD124" s="5"/>
      <x:c r="AE124" s="5"/>
      <x:c r="AF124" s="5"/>
      <x:c r="AG124" s="2" t="str">
        <x:v>此前已有</x:v>
      </x:c>
      <x:c r="AH124" s="4" t="n">
        <x:v>46274</x:v>
      </x:c>
      <x:c r="AI124" s="2" t="str">
        <x:v>数据不足</x:v>
      </x:c>
      <x:c r="AJ124" s="2" t="str">
        <x:v>数据不足</x:v>
      </x:c>
      <x:c r="AK124" s="2" t="str">
        <x:v>数据不足</x:v>
      </x:c>
      <x:c r="AL124" s="5"/>
      <x:c r="AM124" s="5"/>
      <x:c r="AN124" s="5"/>
      <x:c r="AO124" s="2" t="str">
        <x:v>C144</x:v>
      </x:c>
      <x:c r="AP124" s="2" t="n">
        <x:v>1</x:v>
      </x:c>
    </x:row>
    <x:row r="125" ht="26" customHeight="1">
      <x:c r="A125" s="2" t="n">
        <x:v>145</x:v>
      </x:c>
      <x:c r="B125" s="4" t="n">
        <x:v>46274</x:v>
      </x:c>
      <x:c r="C125" s="10" t="n">
        <x:v>46274.5834837963</x:v>
      </x:c>
      <x:c r="D125" s="2" t="str">
        <x:v>聚乙烯</x:v>
      </x:c>
      <x:c r="E125" s="2" t="str">
        <x:v>L2701</x:v>
      </x:c>
      <x:c r="F125" s="2" t="str">
        <x:v>苏冰</x:v>
      </x:c>
      <x:c r="G125" s="2" t="str">
        <x:v>15m</x:v>
      </x:c>
      <x:c r="H125" s="2" t="str">
        <x:v>空头</x:v>
      </x:c>
      <x:c r="I125" s="2" t="n">
        <x:v>-1</x:v>
      </x:c>
      <x:c r="J125" s="10" t="n">
        <x:v>46274.583333333336</x:v>
      </x:c>
      <x:c r="K125" s="11"/>
      <x:c r="L125" s="10" t="n">
        <x:v>46274.584027777775</x:v>
      </x:c>
      <x:c r="M125" s="11"/>
      <x:c r="N125" s="11"/>
      <x:c r="O125" s="5" t="str">
        <x:f>IF(N125="","",I125*(N125/M125-1))</x:f>
      </x:c>
      <x:c r="P125" s="11"/>
      <x:c r="Q125" s="5" t="str">
        <x:f>IF(P125="","",I125*(P125/M125-1))</x:f>
      </x:c>
      <x:c r="R125" s="11"/>
      <x:c r="S125" s="5" t="str">
        <x:f>IF(R125="","",I125*(R125/M125-1))</x:f>
      </x:c>
      <x:c r="T125" s="2" t="str">
        <x:f>IF(R125="",AK125,IF(S125&gt;0,"有利",IF(S125&lt;0,"不利","持平")))</x:f>
        <x:v>数据不足</x:v>
      </x:c>
      <x:c r="U125" s="5"/>
      <x:c r="V125" s="5"/>
      <x:c r="W125" s="2" t="str">
        <x:v>本次未复算；前次：前次复算一致，本次未重算</x:v>
      </x:c>
      <x:c r="X125" s="2" t="str">
        <x:v>逐条结果未留存</x:v>
      </x:c>
      <x:c r="Y125" s="10"/>
      <x:c r="Z125" s="10"/>
      <x:c r="AA125" s="10"/>
      <x:c r="AB125" s="12" t="n">
        <x:v>13.596891</x:v>
      </x:c>
      <x:c r="AC125" s="2" t="str">
        <x:v>subing_ths_alert_15m_v1</x:v>
      </x:c>
      <x:c r="AD125" s="5"/>
      <x:c r="AE125" s="5"/>
      <x:c r="AF125" s="5"/>
      <x:c r="AG125" s="2" t="str">
        <x:v>此前已有</x:v>
      </x:c>
      <x:c r="AH125" s="4" t="n">
        <x:v>46274</x:v>
      </x:c>
      <x:c r="AI125" s="2" t="str">
        <x:v>数据不足</x:v>
      </x:c>
      <x:c r="AJ125" s="2" t="str">
        <x:v>数据不足</x:v>
      </x:c>
      <x:c r="AK125" s="2" t="str">
        <x:v>数据不足</x:v>
      </x:c>
      <x:c r="AL125" s="5"/>
      <x:c r="AM125" s="5"/>
      <x:c r="AN125" s="5"/>
      <x:c r="AO125" s="2" t="str">
        <x:v>C145</x:v>
      </x:c>
      <x:c r="AP125" s="2" t="n">
        <x:v>1</x:v>
      </x:c>
    </x:row>
    <x:row r="126" ht="26" customHeight="1">
      <x:c r="A126" s="2" t="n">
        <x:v>146</x:v>
      </x:c>
      <x:c r="B126" s="4" t="n">
        <x:v>46274</x:v>
      </x:c>
      <x:c r="C126" s="10" t="n">
        <x:v>46274.58351851852</x:v>
      </x:c>
      <x:c r="D126" s="2" t="str">
        <x:v>铂金</x:v>
      </x:c>
      <x:c r="E126" s="2" t="str">
        <x:v>PT2610</x:v>
      </x:c>
      <x:c r="F126" s="2" t="str">
        <x:v>苏冰</x:v>
      </x:c>
      <x:c r="G126" s="2" t="str">
        <x:v>15m</x:v>
      </x:c>
      <x:c r="H126" s="2" t="str">
        <x:v>多头</x:v>
      </x:c>
      <x:c r="I126" s="2" t="n">
        <x:v>1</x:v>
      </x:c>
      <x:c r="J126" s="10" t="n">
        <x:v>46274.583333333336</x:v>
      </x:c>
      <x:c r="K126" s="11"/>
      <x:c r="L126" s="10" t="n">
        <x:v>46274.584027777775</x:v>
      </x:c>
      <x:c r="M126" s="11"/>
      <x:c r="N126" s="11"/>
      <x:c r="O126" s="5" t="str">
        <x:f>IF(N126="","",I126*(N126/M126-1))</x:f>
      </x:c>
      <x:c r="P126" s="11"/>
      <x:c r="Q126" s="5" t="str">
        <x:f>IF(P126="","",I126*(P126/M126-1))</x:f>
      </x:c>
      <x:c r="R126" s="11"/>
      <x:c r="S126" s="5" t="str">
        <x:f>IF(R126="","",I126*(R126/M126-1))</x:f>
      </x:c>
      <x:c r="T126" s="2" t="str">
        <x:f>IF(R126="",AK126,IF(S126&gt;0,"有利",IF(S126&lt;0,"不利","持平")))</x:f>
        <x:v>数据不足</x:v>
      </x:c>
      <x:c r="U126" s="5"/>
      <x:c r="V126" s="5"/>
      <x:c r="W126" s="2" t="str">
        <x:v>本次未复算；前次：前次复算一致，本次未重算</x:v>
      </x:c>
      <x:c r="X126" s="2" t="str">
        <x:v>owner收件确认（STATUS记录）</x:v>
      </x:c>
      <x:c r="Y126" s="10"/>
      <x:c r="Z126" s="10"/>
      <x:c r="AA126" s="10"/>
      <x:c r="AB126" s="12" t="n">
        <x:v>16.478341</x:v>
      </x:c>
      <x:c r="AC126" s="2" t="str">
        <x:v>subing_ths_alert_15m_v1</x:v>
      </x:c>
      <x:c r="AD126" s="5"/>
      <x:c r="AE126" s="5"/>
      <x:c r="AF126" s="5"/>
      <x:c r="AG126" s="2" t="str">
        <x:v>此前已有</x:v>
      </x:c>
      <x:c r="AH126" s="4" t="n">
        <x:v>46274</x:v>
      </x:c>
      <x:c r="AI126" s="2" t="str">
        <x:v>数据不足</x:v>
      </x:c>
      <x:c r="AJ126" s="2" t="str">
        <x:v>数据不足</x:v>
      </x:c>
      <x:c r="AK126" s="2" t="str">
        <x:v>数据不足</x:v>
      </x:c>
      <x:c r="AL126" s="5"/>
      <x:c r="AM126" s="5"/>
      <x:c r="AN126" s="5"/>
      <x:c r="AO126" s="2" t="str">
        <x:v>C146</x:v>
      </x:c>
      <x:c r="AP126" s="2" t="n">
        <x:v>1</x:v>
      </x:c>
    </x:row>
    <x:row r="127" ht="26" customHeight="1">
      <x:c r="A127" s="2" t="n">
        <x:v>147</x:v>
      </x:c>
      <x:c r="B127" s="4" t="n">
        <x:v>46274</x:v>
      </x:c>
      <x:c r="C127" s="10" t="n">
        <x:v>46274.59384259259</x:v>
      </x:c>
      <x:c r="D127" s="2" t="str">
        <x:v>锌</x:v>
      </x:c>
      <x:c r="E127" s="2" t="str">
        <x:v>ZN2610</x:v>
      </x:c>
      <x:c r="F127" s="2" t="str">
        <x:v>苏冰</x:v>
      </x:c>
      <x:c r="G127" s="2" t="str">
        <x:v>15m</x:v>
      </x:c>
      <x:c r="H127" s="2" t="str">
        <x:v>多头</x:v>
      </x:c>
      <x:c r="I127" s="2" t="n">
        <x:v>1</x:v>
      </x:c>
      <x:c r="J127" s="10" t="n">
        <x:v>46274.59375</x:v>
      </x:c>
      <x:c r="K127" s="11"/>
      <x:c r="L127" s="10" t="n">
        <x:v>46274.59444444445</x:v>
      </x:c>
      <x:c r="M127" s="11"/>
      <x:c r="N127" s="11"/>
      <x:c r="O127" s="5" t="str">
        <x:f>IF(N127="","",I127*(N127/M127-1))</x:f>
      </x:c>
      <x:c r="P127" s="11"/>
      <x:c r="Q127" s="5" t="str">
        <x:f>IF(P127="","",I127*(P127/M127-1))</x:f>
      </x:c>
      <x:c r="R127" s="11"/>
      <x:c r="S127" s="5" t="str">
        <x:f>IF(R127="","",I127*(R127/M127-1))</x:f>
      </x:c>
      <x:c r="T127" s="2" t="str">
        <x:f>IF(R127="",AK127,IF(S127&gt;0,"有利",IF(S127&lt;0,"不利","持平")))</x:f>
        <x:v>数据不足</x:v>
      </x:c>
      <x:c r="U127" s="5"/>
      <x:c r="V127" s="5"/>
      <x:c r="W127" s="2" t="str">
        <x:v>本次未复算；前次：前次复算一致，本次未重算</x:v>
      </x:c>
      <x:c r="X127" s="2" t="str">
        <x:v>逐条结果未留存</x:v>
      </x:c>
      <x:c r="Y127" s="10"/>
      <x:c r="Z127" s="10"/>
      <x:c r="AA127" s="10"/>
      <x:c r="AB127" s="12" t="n">
        <x:v>8.208438</x:v>
      </x:c>
      <x:c r="AC127" s="2" t="str">
        <x:v>subing_ths_alert_15m_v1</x:v>
      </x:c>
      <x:c r="AD127" s="5"/>
      <x:c r="AE127" s="5"/>
      <x:c r="AF127" s="5"/>
      <x:c r="AG127" s="2" t="str">
        <x:v>此前已有</x:v>
      </x:c>
      <x:c r="AH127" s="4" t="n">
        <x:v>46274</x:v>
      </x:c>
      <x:c r="AI127" s="2" t="str">
        <x:v>数据不足</x:v>
      </x:c>
      <x:c r="AJ127" s="2" t="str">
        <x:v>数据不足</x:v>
      </x:c>
      <x:c r="AK127" s="2" t="str">
        <x:v>数据不足</x:v>
      </x:c>
      <x:c r="AL127" s="5"/>
      <x:c r="AM127" s="5"/>
      <x:c r="AN127" s="5"/>
      <x:c r="AO127" s="2" t="str">
        <x:v>C147</x:v>
      </x:c>
      <x:c r="AP127" s="2" t="n">
        <x:v>1</x:v>
      </x:c>
    </x:row>
    <x:row r="128" ht="26" customHeight="1">
      <x:c r="A128" s="2" t="n">
        <x:v>148</x:v>
      </x:c>
      <x:c r="B128" s="4" t="n">
        <x:v>46274</x:v>
      </x:c>
      <x:c r="C128" s="10" t="n">
        <x:v>46274.59384259259</x:v>
      </x:c>
      <x:c r="D128" s="2" t="str">
        <x:v>乙二醇</x:v>
      </x:c>
      <x:c r="E128" s="2" t="str">
        <x:v>EG2610</x:v>
      </x:c>
      <x:c r="F128" s="2" t="str">
        <x:v>苏冰</x:v>
      </x:c>
      <x:c r="G128" s="2" t="str">
        <x:v>15m</x:v>
      </x:c>
      <x:c r="H128" s="2" t="str">
        <x:v>多头</x:v>
      </x:c>
      <x:c r="I128" s="2" t="n">
        <x:v>1</x:v>
      </x:c>
      <x:c r="J128" s="10" t="n">
        <x:v>46274.59375</x:v>
      </x:c>
      <x:c r="K128" s="11"/>
      <x:c r="L128" s="10" t="n">
        <x:v>46274.59444444445</x:v>
      </x:c>
      <x:c r="M128" s="11"/>
      <x:c r="N128" s="11"/>
      <x:c r="O128" s="5" t="str">
        <x:f>IF(N128="","",I128*(N128/M128-1))</x:f>
      </x:c>
      <x:c r="P128" s="11"/>
      <x:c r="Q128" s="5" t="str">
        <x:f>IF(P128="","",I128*(P128/M128-1))</x:f>
      </x:c>
      <x:c r="R128" s="11"/>
      <x:c r="S128" s="5" t="str">
        <x:f>IF(R128="","",I128*(R128/M128-1))</x:f>
      </x:c>
      <x:c r="T128" s="2" t="str">
        <x:f>IF(R128="",AK128,IF(S128&gt;0,"有利",IF(S128&lt;0,"不利","持平")))</x:f>
        <x:v>数据不足</x:v>
      </x:c>
      <x:c r="U128" s="5"/>
      <x:c r="V128" s="5"/>
      <x:c r="W128" s="2" t="str">
        <x:v>本次未复算；前次：前次复算一致，本次未重算</x:v>
      </x:c>
      <x:c r="X128" s="2" t="str">
        <x:v>逐条结果未留存</x:v>
      </x:c>
      <x:c r="Y128" s="10"/>
      <x:c r="Z128" s="10"/>
      <x:c r="AA128" s="10"/>
      <x:c r="AB128" s="12" t="n">
        <x:v>8.910732</x:v>
      </x:c>
      <x:c r="AC128" s="2" t="str">
        <x:v>subing_ths_alert_15m_v1</x:v>
      </x:c>
      <x:c r="AD128" s="5"/>
      <x:c r="AE128" s="5"/>
      <x:c r="AF128" s="5"/>
      <x:c r="AG128" s="2" t="str">
        <x:v>此前已有</x:v>
      </x:c>
      <x:c r="AH128" s="4" t="n">
        <x:v>46274</x:v>
      </x:c>
      <x:c r="AI128" s="2" t="str">
        <x:v>数据不足</x:v>
      </x:c>
      <x:c r="AJ128" s="2" t="str">
        <x:v>数据不足</x:v>
      </x:c>
      <x:c r="AK128" s="2" t="str">
        <x:v>数据不足</x:v>
      </x:c>
      <x:c r="AL128" s="5"/>
      <x:c r="AM128" s="5"/>
      <x:c r="AN128" s="5"/>
      <x:c r="AO128" s="2" t="str">
        <x:v>C140</x:v>
      </x:c>
      <x:c r="AP128" s="2" t="n">
        <x:v>0</x:v>
      </x:c>
    </x:row>
    <x:row r="129" ht="26" customHeight="1">
      <x:c r="A129" s="2" t="n">
        <x:v>149</x:v>
      </x:c>
      <x:c r="B129" s="4" t="n">
        <x:v>46274</x:v>
      </x:c>
      <x:c r="C129" s="10" t="n">
        <x:v>46274.59385416667</x:v>
      </x:c>
      <x:c r="D129" s="2" t="str">
        <x:v>铁矿石</x:v>
      </x:c>
      <x:c r="E129" s="2" t="str">
        <x:v>I2701</x:v>
      </x:c>
      <x:c r="F129" s="2" t="str">
        <x:v>苏冰</x:v>
      </x:c>
      <x:c r="G129" s="2" t="str">
        <x:v>15m</x:v>
      </x:c>
      <x:c r="H129" s="2" t="str">
        <x:v>多头</x:v>
      </x:c>
      <x:c r="I129" s="2" t="n">
        <x:v>1</x:v>
      </x:c>
      <x:c r="J129" s="10" t="n">
        <x:v>46274.59375</x:v>
      </x:c>
      <x:c r="K129" s="11"/>
      <x:c r="L129" s="10" t="n">
        <x:v>46274.59444444445</x:v>
      </x:c>
      <x:c r="M129" s="11"/>
      <x:c r="N129" s="11"/>
      <x:c r="O129" s="5" t="str">
        <x:f>IF(N129="","",I129*(N129/M129-1))</x:f>
      </x:c>
      <x:c r="P129" s="11"/>
      <x:c r="Q129" s="5" t="str">
        <x:f>IF(P129="","",I129*(P129/M129-1))</x:f>
      </x:c>
      <x:c r="R129" s="11"/>
      <x:c r="S129" s="5" t="str">
        <x:f>IF(R129="","",I129*(R129/M129-1))</x:f>
      </x:c>
      <x:c r="T129" s="2" t="str">
        <x:f>IF(R129="",AK129,IF(S129&gt;0,"有利",IF(S129&lt;0,"不利","持平")))</x:f>
        <x:v>数据不足</x:v>
      </x:c>
      <x:c r="U129" s="5"/>
      <x:c r="V129" s="5"/>
      <x:c r="W129" s="2" t="str">
        <x:v>本次未复算；前次：前次复算一致，本次未重算</x:v>
      </x:c>
      <x:c r="X129" s="2" t="str">
        <x:v>逐条结果未留存</x:v>
      </x:c>
      <x:c r="Y129" s="10"/>
      <x:c r="Z129" s="10"/>
      <x:c r="AA129" s="10"/>
      <x:c r="AB129" s="12" t="n">
        <x:v>9.113626</x:v>
      </x:c>
      <x:c r="AC129" s="2" t="str">
        <x:v>subing_ths_alert_15m_v1</x:v>
      </x:c>
      <x:c r="AD129" s="5"/>
      <x:c r="AE129" s="5"/>
      <x:c r="AF129" s="5"/>
      <x:c r="AG129" s="2" t="str">
        <x:v>此前已有</x:v>
      </x:c>
      <x:c r="AH129" s="4" t="n">
        <x:v>46274</x:v>
      </x:c>
      <x:c r="AI129" s="2" t="str">
        <x:v>数据不足</x:v>
      </x:c>
      <x:c r="AJ129" s="2" t="str">
        <x:v>数据不足</x:v>
      </x:c>
      <x:c r="AK129" s="2" t="str">
        <x:v>数据不足</x:v>
      </x:c>
      <x:c r="AL129" s="5"/>
      <x:c r="AM129" s="5"/>
      <x:c r="AN129" s="5"/>
      <x:c r="AO129" s="2" t="str">
        <x:v>C149</x:v>
      </x:c>
      <x:c r="AP129" s="2" t="n">
        <x:v>1</x:v>
      </x:c>
    </x:row>
    <x:row r="130" ht="26" customHeight="1">
      <x:c r="A130" s="2" t="n">
        <x:v>150</x:v>
      </x:c>
      <x:c r="B130" s="4" t="n">
        <x:v>46274</x:v>
      </x:c>
      <x:c r="C130" s="10" t="n">
        <x:v>46274.59385416667</x:v>
      </x:c>
      <x:c r="D130" s="2" t="str">
        <x:v>焦煤</x:v>
      </x:c>
      <x:c r="E130" s="2" t="str">
        <x:v>JM2701</x:v>
      </x:c>
      <x:c r="F130" s="2" t="str">
        <x:v>火天大有</x:v>
      </x:c>
      <x:c r="G130" s="2" t="str">
        <x:v>15m</x:v>
      </x:c>
      <x:c r="H130" s="2" t="str">
        <x:v>多头</x:v>
      </x:c>
      <x:c r="I130" s="2" t="n">
        <x:v>1</x:v>
      </x:c>
      <x:c r="J130" s="10" t="n">
        <x:v>46274.59375</x:v>
      </x:c>
      <x:c r="K130" s="11"/>
      <x:c r="L130" s="10" t="n">
        <x:v>46274.59444444445</x:v>
      </x:c>
      <x:c r="M130" s="11"/>
      <x:c r="N130" s="11"/>
      <x:c r="O130" s="5" t="str">
        <x:f>IF(N130="","",I130*(N130/M130-1))</x:f>
      </x:c>
      <x:c r="P130" s="11"/>
      <x:c r="Q130" s="5" t="str">
        <x:f>IF(P130="","",I130*(P130/M130-1))</x:f>
      </x:c>
      <x:c r="R130" s="11"/>
      <x:c r="S130" s="5" t="str">
        <x:f>IF(R130="","",I130*(R130/M130-1))</x:f>
      </x:c>
      <x:c r="T130" s="2" t="str">
        <x:f>IF(R130="",AK130,IF(S130&gt;0,"有利",IF(S130&lt;0,"不利","持平")))</x:f>
        <x:v>数据不足</x:v>
      </x:c>
      <x:c r="U130" s="5"/>
      <x:c r="V130" s="5"/>
      <x:c r="W130" s="2" t="str">
        <x:v>本次未复算；前次：公式复算数据不足</x:v>
      </x:c>
      <x:c r="X130" s="2" t="str">
        <x:v>逐条结果未留存</x:v>
      </x:c>
      <x:c r="Y130" s="10"/>
      <x:c r="Z130" s="10"/>
      <x:c r="AA130" s="10"/>
      <x:c r="AB130" s="12" t="n">
        <x:v>9.448824</x:v>
      </x:c>
      <x:c r="AC130" s="2" t="str">
        <x:v>htdy_original_15m</x:v>
      </x:c>
      <x:c r="AD130" s="5"/>
      <x:c r="AE130" s="5"/>
      <x:c r="AF130" s="5"/>
      <x:c r="AG130" s="2" t="str">
        <x:v>此前已有</x:v>
      </x:c>
      <x:c r="AH130" s="4" t="n">
        <x:v>46274</x:v>
      </x:c>
      <x:c r="AI130" s="2" t="str">
        <x:v>数据不足</x:v>
      </x:c>
      <x:c r="AJ130" s="2" t="str">
        <x:v>数据不足</x:v>
      </x:c>
      <x:c r="AK130" s="2" t="str">
        <x:v>数据不足</x:v>
      </x:c>
      <x:c r="AL130" s="5"/>
      <x:c r="AM130" s="5"/>
      <x:c r="AN130" s="5"/>
      <x:c r="AO130" s="2" t="str">
        <x:v>C150</x:v>
      </x:c>
      <x:c r="AP130" s="2" t="n">
        <x:v>1</x:v>
      </x:c>
    </x:row>
    <x:row r="131" ht="26" customHeight="1">
      <x:c r="A131" s="2" t="n">
        <x:v>151</x:v>
      </x:c>
      <x:c r="B131" s="4" t="n">
        <x:v>46274</x:v>
      </x:c>
      <x:c r="C131" s="10" t="n">
        <x:v>46274.604212962964</x:v>
      </x:c>
      <x:c r="D131" s="2" t="str">
        <x:v>棉花</x:v>
      </x:c>
      <x:c r="E131" s="2" t="str">
        <x:v>CF2701</x:v>
      </x:c>
      <x:c r="F131" s="2" t="str">
        <x:v>苏冰</x:v>
      </x:c>
      <x:c r="G131" s="2" t="str">
        <x:v>15m</x:v>
      </x:c>
      <x:c r="H131" s="2" t="str">
        <x:v>多头</x:v>
      </x:c>
      <x:c r="I131" s="2" t="n">
        <x:v>1</x:v>
      </x:c>
      <x:c r="J131" s="10" t="n">
        <x:v>46274.604166666664</x:v>
      </x:c>
      <x:c r="K131" s="11"/>
      <x:c r="L131" s="10" t="n">
        <x:v>46274.60486111111</x:v>
      </x:c>
      <x:c r="M131" s="11"/>
      <x:c r="N131" s="11"/>
      <x:c r="O131" s="5" t="str">
        <x:f>IF(N131="","",I131*(N131/M131-1))</x:f>
      </x:c>
      <x:c r="P131" s="11"/>
      <x:c r="Q131" s="5" t="str">
        <x:f>IF(P131="","",I131*(P131/M131-1))</x:f>
      </x:c>
      <x:c r="R131" s="11"/>
      <x:c r="S131" s="5" t="str">
        <x:f>IF(R131="","",I131*(R131/M131-1))</x:f>
      </x:c>
      <x:c r="T131" s="2" t="str">
        <x:f>IF(R131="",AK131,IF(S131&gt;0,"有利",IF(S131&lt;0,"不利","持平")))</x:f>
        <x:v>数据不足</x:v>
      </x:c>
      <x:c r="U131" s="5"/>
      <x:c r="V131" s="5"/>
      <x:c r="W131" s="2" t="str">
        <x:v>本次未复算；前次：前次复算一致，本次未重算</x:v>
      </x:c>
      <x:c r="X131" s="2" t="str">
        <x:v>逐条结果未留存</x:v>
      </x:c>
      <x:c r="Y131" s="10"/>
      <x:c r="Z131" s="10"/>
      <x:c r="AA131" s="10"/>
      <x:c r="AB131" s="12" t="n">
        <x:v>4.634946</x:v>
      </x:c>
      <x:c r="AC131" s="2" t="str">
        <x:v>subing_ths_alert_15m_v1</x:v>
      </x:c>
      <x:c r="AD131" s="5"/>
      <x:c r="AE131" s="5"/>
      <x:c r="AF131" s="5"/>
      <x:c r="AG131" s="2" t="str">
        <x:v>此前已有</x:v>
      </x:c>
      <x:c r="AH131" s="4" t="n">
        <x:v>46274</x:v>
      </x:c>
      <x:c r="AI131" s="2" t="str">
        <x:v>数据不足</x:v>
      </x:c>
      <x:c r="AJ131" s="2" t="str">
        <x:v>数据不足</x:v>
      </x:c>
      <x:c r="AK131" s="2" t="str">
        <x:v>数据不足</x:v>
      </x:c>
      <x:c r="AL131" s="5"/>
      <x:c r="AM131" s="5"/>
      <x:c r="AN131" s="5"/>
      <x:c r="AO131" s="2" t="str">
        <x:v>C151</x:v>
      </x:c>
      <x:c r="AP131" s="2" t="n">
        <x:v>1</x:v>
      </x:c>
    </x:row>
    <x:row r="132" ht="26" customHeight="1">
      <x:c r="A132" s="2" t="n">
        <x:v>152</x:v>
      </x:c>
      <x:c r="B132" s="4" t="n">
        <x:v>46274</x:v>
      </x:c>
      <x:c r="C132" s="10" t="n">
        <x:v>46274.60422453703</x:v>
      </x:c>
      <x:c r="D132" s="2" t="str">
        <x:v>短纤</x:v>
      </x:c>
      <x:c r="E132" s="2" t="str">
        <x:v>PF2611</x:v>
      </x:c>
      <x:c r="F132" s="2" t="str">
        <x:v>苏冰</x:v>
      </x:c>
      <x:c r="G132" s="2" t="str">
        <x:v>15m</x:v>
      </x:c>
      <x:c r="H132" s="2" t="str">
        <x:v>多头</x:v>
      </x:c>
      <x:c r="I132" s="2" t="n">
        <x:v>1</x:v>
      </x:c>
      <x:c r="J132" s="10" t="n">
        <x:v>46274.604166666664</x:v>
      </x:c>
      <x:c r="K132" s="11"/>
      <x:c r="L132" s="10" t="n">
        <x:v>46274.60486111111</x:v>
      </x:c>
      <x:c r="M132" s="11"/>
      <x:c r="N132" s="11"/>
      <x:c r="O132" s="5" t="str">
        <x:f>IF(N132="","",I132*(N132/M132-1))</x:f>
      </x:c>
      <x:c r="P132" s="11"/>
      <x:c r="Q132" s="5" t="str">
        <x:f>IF(P132="","",I132*(P132/M132-1))</x:f>
      </x:c>
      <x:c r="R132" s="11"/>
      <x:c r="S132" s="5" t="str">
        <x:f>IF(R132="","",I132*(R132/M132-1))</x:f>
      </x:c>
      <x:c r="T132" s="2" t="str">
        <x:f>IF(R132="",AK132,IF(S132&gt;0,"有利",IF(S132&lt;0,"不利","持平")))</x:f>
        <x:v>数据不足</x:v>
      </x:c>
      <x:c r="U132" s="5"/>
      <x:c r="V132" s="5"/>
      <x:c r="W132" s="2" t="str">
        <x:v>本次未复算；前次：前次复算一致，本次未重算</x:v>
      </x:c>
      <x:c r="X132" s="2" t="str">
        <x:v>逐条结果未留存</x:v>
      </x:c>
      <x:c r="Y132" s="10"/>
      <x:c r="Z132" s="10"/>
      <x:c r="AA132" s="10"/>
      <x:c r="AB132" s="12" t="n">
        <x:v>5.47001</x:v>
      </x:c>
      <x:c r="AC132" s="2" t="str">
        <x:v>subing_ths_alert_15m_v1</x:v>
      </x:c>
      <x:c r="AD132" s="5"/>
      <x:c r="AE132" s="5"/>
      <x:c r="AF132" s="5"/>
      <x:c r="AG132" s="2" t="str">
        <x:v>此前已有</x:v>
      </x:c>
      <x:c r="AH132" s="4" t="n">
        <x:v>46274</x:v>
      </x:c>
      <x:c r="AI132" s="2" t="str">
        <x:v>数据不足</x:v>
      </x:c>
      <x:c r="AJ132" s="2" t="str">
        <x:v>数据不足</x:v>
      </x:c>
      <x:c r="AK132" s="2" t="str">
        <x:v>数据不足</x:v>
      </x:c>
      <x:c r="AL132" s="5"/>
      <x:c r="AM132" s="5"/>
      <x:c r="AN132" s="5"/>
      <x:c r="AO132" s="2" t="str">
        <x:v>C152</x:v>
      </x:c>
      <x:c r="AP132" s="2" t="n">
        <x:v>1</x:v>
      </x:c>
    </x:row>
    <x:row r="133" ht="26" customHeight="1">
      <x:c r="A133" s="2" t="n">
        <x:v>153</x:v>
      </x:c>
      <x:c r="B133" s="4" t="n">
        <x:v>46274</x:v>
      </x:c>
      <x:c r="C133" s="10" t="n">
        <x:v>46274.60425925926</x:v>
      </x:c>
      <x:c r="D133" s="2" t="str">
        <x:v>热轧卷板</x:v>
      </x:c>
      <x:c r="E133" s="2" t="str">
        <x:v>HC2701</x:v>
      </x:c>
      <x:c r="F133" s="2" t="str">
        <x:v>苏冰</x:v>
      </x:c>
      <x:c r="G133" s="2" t="str">
        <x:v>15m</x:v>
      </x:c>
      <x:c r="H133" s="2" t="str">
        <x:v>多头</x:v>
      </x:c>
      <x:c r="I133" s="2" t="n">
        <x:v>1</x:v>
      </x:c>
      <x:c r="J133" s="10" t="n">
        <x:v>46274.604166666664</x:v>
      </x:c>
      <x:c r="K133" s="11"/>
      <x:c r="L133" s="10" t="n">
        <x:v>46274.60486111111</x:v>
      </x:c>
      <x:c r="M133" s="11"/>
      <x:c r="N133" s="11"/>
      <x:c r="O133" s="5" t="str">
        <x:f>IF(N133="","",I133*(N133/M133-1))</x:f>
      </x:c>
      <x:c r="P133" s="11"/>
      <x:c r="Q133" s="5" t="str">
        <x:f>IF(P133="","",I133*(P133/M133-1))</x:f>
      </x:c>
      <x:c r="R133" s="11"/>
      <x:c r="S133" s="5" t="str">
        <x:f>IF(R133="","",I133*(R133/M133-1))</x:f>
      </x:c>
      <x:c r="T133" s="2" t="str">
        <x:f>IF(R133="",AK133,IF(S133&gt;0,"有利",IF(S133&lt;0,"不利","持平")))</x:f>
        <x:v>数据不足</x:v>
      </x:c>
      <x:c r="U133" s="5"/>
      <x:c r="V133" s="5"/>
      <x:c r="W133" s="2" t="str">
        <x:v>本次未复算；前次：前次复算一致，本次未重算</x:v>
      </x:c>
      <x:c r="X133" s="2" t="str">
        <x:v>逐条结果未留存</x:v>
      </x:c>
      <x:c r="Y133" s="10"/>
      <x:c r="Z133" s="10"/>
      <x:c r="AA133" s="10"/>
      <x:c r="AB133" s="12" t="n">
        <x:v>8.679806</x:v>
      </x:c>
      <x:c r="AC133" s="2" t="str">
        <x:v>subing_ths_alert_15m_v1</x:v>
      </x:c>
      <x:c r="AD133" s="5"/>
      <x:c r="AE133" s="5"/>
      <x:c r="AF133" s="5"/>
      <x:c r="AG133" s="2" t="str">
        <x:v>此前已有</x:v>
      </x:c>
      <x:c r="AH133" s="4" t="n">
        <x:v>46274</x:v>
      </x:c>
      <x:c r="AI133" s="2" t="str">
        <x:v>数据不足</x:v>
      </x:c>
      <x:c r="AJ133" s="2" t="str">
        <x:v>数据不足</x:v>
      </x:c>
      <x:c r="AK133" s="2" t="str">
        <x:v>数据不足</x:v>
      </x:c>
      <x:c r="AL133" s="5"/>
      <x:c r="AM133" s="5"/>
      <x:c r="AN133" s="5"/>
      <x:c r="AO133" s="2" t="str">
        <x:v>C153</x:v>
      </x:c>
      <x:c r="AP133" s="2" t="n">
        <x:v>1</x:v>
      </x:c>
    </x:row>
    <x:row r="134" ht="26" customHeight="1">
      <x:c r="A134" s="2" t="n">
        <x:v>154</x:v>
      </x:c>
      <x:c r="B134" s="4" t="n">
        <x:v>46274</x:v>
      </x:c>
      <x:c r="C134" s="10" t="n">
        <x:v>46274.60425925926</x:v>
      </x:c>
      <x:c r="D134" s="2" t="str">
        <x:v>镍</x:v>
      </x:c>
      <x:c r="E134" s="2" t="str">
        <x:v>NI2610</x:v>
      </x:c>
      <x:c r="F134" s="2" t="str">
        <x:v>苏冰</x:v>
      </x:c>
      <x:c r="G134" s="2" t="str">
        <x:v>15m</x:v>
      </x:c>
      <x:c r="H134" s="2" t="str">
        <x:v>多头</x:v>
      </x:c>
      <x:c r="I134" s="2" t="n">
        <x:v>1</x:v>
      </x:c>
      <x:c r="J134" s="10" t="n">
        <x:v>46274.604166666664</x:v>
      </x:c>
      <x:c r="K134" s="11"/>
      <x:c r="L134" s="10" t="n">
        <x:v>46274.60486111111</x:v>
      </x:c>
      <x:c r="M134" s="11"/>
      <x:c r="N134" s="11"/>
      <x:c r="O134" s="5" t="str">
        <x:f>IF(N134="","",I134*(N134/M134-1))</x:f>
      </x:c>
      <x:c r="P134" s="11"/>
      <x:c r="Q134" s="5" t="str">
        <x:f>IF(P134="","",I134*(P134/M134-1))</x:f>
      </x:c>
      <x:c r="R134" s="11"/>
      <x:c r="S134" s="5" t="str">
        <x:f>IF(R134="","",I134*(R134/M134-1))</x:f>
      </x:c>
      <x:c r="T134" s="2" t="str">
        <x:f>IF(R134="",AK134,IF(S134&gt;0,"有利",IF(S134&lt;0,"不利","持平")))</x:f>
        <x:v>数据不足</x:v>
      </x:c>
      <x:c r="U134" s="5"/>
      <x:c r="V134" s="5"/>
      <x:c r="W134" s="2" t="str">
        <x:v>本次未复算；前次：前次复算一致，本次未重算</x:v>
      </x:c>
      <x:c r="X134" s="2" t="str">
        <x:v>逐条结果未留存</x:v>
      </x:c>
      <x:c r="Y134" s="10"/>
      <x:c r="Z134" s="10"/>
      <x:c r="AA134" s="10"/>
      <x:c r="AB134" s="12" t="n">
        <x:v>8.928648</x:v>
      </x:c>
      <x:c r="AC134" s="2" t="str">
        <x:v>subing_ths_alert_15m_v1</x:v>
      </x:c>
      <x:c r="AD134" s="5"/>
      <x:c r="AE134" s="5"/>
      <x:c r="AF134" s="5"/>
      <x:c r="AG134" s="2" t="str">
        <x:v>此前已有</x:v>
      </x:c>
      <x:c r="AH134" s="4" t="n">
        <x:v>46274</x:v>
      </x:c>
      <x:c r="AI134" s="2" t="str">
        <x:v>数据不足</x:v>
      </x:c>
      <x:c r="AJ134" s="2" t="str">
        <x:v>数据不足</x:v>
      </x:c>
      <x:c r="AK134" s="2" t="str">
        <x:v>数据不足</x:v>
      </x:c>
      <x:c r="AL134" s="5"/>
      <x:c r="AM134" s="5"/>
      <x:c r="AN134" s="5"/>
      <x:c r="AO134" s="2" t="str">
        <x:v>C154</x:v>
      </x:c>
      <x:c r="AP134" s="2" t="n">
        <x:v>1</x:v>
      </x:c>
    </x:row>
    <x:row r="135" ht="26" customHeight="1">
      <x:c r="A135" s="2" t="n">
        <x:v>155</x:v>
      </x:c>
      <x:c r="B135" s="4" t="n">
        <x:v>46274</x:v>
      </x:c>
      <x:c r="C135" s="10" t="n">
        <x:v>46274.60427083333</x:v>
      </x:c>
      <x:c r="D135" s="2" t="str">
        <x:v>螺纹钢</x:v>
      </x:c>
      <x:c r="E135" s="2" t="str">
        <x:v>RB2701</x:v>
      </x:c>
      <x:c r="F135" s="2" t="str">
        <x:v>苏冰</x:v>
      </x:c>
      <x:c r="G135" s="2" t="str">
        <x:v>15m</x:v>
      </x:c>
      <x:c r="H135" s="2" t="str">
        <x:v>多头</x:v>
      </x:c>
      <x:c r="I135" s="2" t="n">
        <x:v>1</x:v>
      </x:c>
      <x:c r="J135" s="10" t="n">
        <x:v>46274.604166666664</x:v>
      </x:c>
      <x:c r="K135" s="11"/>
      <x:c r="L135" s="10" t="n">
        <x:v>46274.60486111111</x:v>
      </x:c>
      <x:c r="M135" s="11"/>
      <x:c r="N135" s="11"/>
      <x:c r="O135" s="5" t="str">
        <x:f>IF(N135="","",I135*(N135/M135-1))</x:f>
      </x:c>
      <x:c r="P135" s="11"/>
      <x:c r="Q135" s="5" t="str">
        <x:f>IF(P135="","",I135*(P135/M135-1))</x:f>
      </x:c>
      <x:c r="R135" s="11"/>
      <x:c r="S135" s="5" t="str">
        <x:f>IF(R135="","",I135*(R135/M135-1))</x:f>
      </x:c>
      <x:c r="T135" s="2" t="str">
        <x:f>IF(R135="",AK135,IF(S135&gt;0,"有利",IF(S135&lt;0,"不利","持平")))</x:f>
        <x:v>数据不足</x:v>
      </x:c>
      <x:c r="U135" s="5"/>
      <x:c r="V135" s="5"/>
      <x:c r="W135" s="2" t="str">
        <x:v>本次未复算；前次：前次复算一致，本次未重算</x:v>
      </x:c>
      <x:c r="X135" s="2" t="str">
        <x:v>逐条结果未留存</x:v>
      </x:c>
      <x:c r="Y135" s="10"/>
      <x:c r="Z135" s="10"/>
      <x:c r="AA135" s="10"/>
      <x:c r="AB135" s="12" t="n">
        <x:v>9.378374</x:v>
      </x:c>
      <x:c r="AC135" s="2" t="str">
        <x:v>subing_ths_alert_15m_v1</x:v>
      </x:c>
      <x:c r="AD135" s="5"/>
      <x:c r="AE135" s="5"/>
      <x:c r="AF135" s="5"/>
      <x:c r="AG135" s="2" t="str">
        <x:v>此前已有</x:v>
      </x:c>
      <x:c r="AH135" s="4" t="n">
        <x:v>46274</x:v>
      </x:c>
      <x:c r="AI135" s="2" t="str">
        <x:v>数据不足</x:v>
      </x:c>
      <x:c r="AJ135" s="2" t="str">
        <x:v>数据不足</x:v>
      </x:c>
      <x:c r="AK135" s="2" t="str">
        <x:v>数据不足</x:v>
      </x:c>
      <x:c r="AL135" s="5"/>
      <x:c r="AM135" s="5"/>
      <x:c r="AN135" s="5"/>
      <x:c r="AO135" s="2" t="str">
        <x:v>C155</x:v>
      </x:c>
      <x:c r="AP135" s="2" t="n">
        <x:v>1</x:v>
      </x:c>
    </x:row>
    <x:row r="136" ht="26" customHeight="1">
      <x:c r="A136" s="2" t="n">
        <x:v>156</x:v>
      </x:c>
      <x:c r="B136" s="4" t="n">
        <x:v>46274</x:v>
      </x:c>
      <x:c r="C136" s="10" t="n">
        <x:v>46274.60429398148</x:v>
      </x:c>
      <x:c r="D136" s="2" t="str">
        <x:v>聚乙烯</x:v>
      </x:c>
      <x:c r="E136" s="2" t="str">
        <x:v>L2701</x:v>
      </x:c>
      <x:c r="F136" s="2" t="str">
        <x:v>苏冰</x:v>
      </x:c>
      <x:c r="G136" s="2" t="str">
        <x:v>15m</x:v>
      </x:c>
      <x:c r="H136" s="2" t="str">
        <x:v>多头</x:v>
      </x:c>
      <x:c r="I136" s="2" t="n">
        <x:v>1</x:v>
      </x:c>
      <x:c r="J136" s="10" t="n">
        <x:v>46274.604166666664</x:v>
      </x:c>
      <x:c r="K136" s="11"/>
      <x:c r="L136" s="10" t="n">
        <x:v>46274.60486111111</x:v>
      </x:c>
      <x:c r="M136" s="11"/>
      <x:c r="N136" s="11"/>
      <x:c r="O136" s="5" t="str">
        <x:f>IF(N136="","",I136*(N136/M136-1))</x:f>
      </x:c>
      <x:c r="P136" s="11"/>
      <x:c r="Q136" s="5" t="str">
        <x:f>IF(P136="","",I136*(P136/M136-1))</x:f>
      </x:c>
      <x:c r="R136" s="11"/>
      <x:c r="S136" s="5" t="str">
        <x:f>IF(R136="","",I136*(R136/M136-1))</x:f>
      </x:c>
      <x:c r="T136" s="2" t="str">
        <x:f>IF(R136="",AK136,IF(S136&gt;0,"有利",IF(S136&lt;0,"不利","持平")))</x:f>
        <x:v>数据不足</x:v>
      </x:c>
      <x:c r="U136" s="5"/>
      <x:c r="V136" s="5"/>
      <x:c r="W136" s="2" t="str">
        <x:v>本次未复算；前次：前次复算一致，本次未重算</x:v>
      </x:c>
      <x:c r="X136" s="2" t="str">
        <x:v>逐条结果未留存</x:v>
      </x:c>
      <x:c r="Y136" s="10"/>
      <x:c r="Z136" s="10"/>
      <x:c r="AA136" s="10"/>
      <x:c r="AB136" s="12" t="n">
        <x:v>11.026094</x:v>
      </x:c>
      <x:c r="AC136" s="2" t="str">
        <x:v>subing_ths_alert_15m_v1</x:v>
      </x:c>
      <x:c r="AD136" s="5"/>
      <x:c r="AE136" s="5"/>
      <x:c r="AF136" s="5"/>
      <x:c r="AG136" s="2" t="str">
        <x:v>此前已有</x:v>
      </x:c>
      <x:c r="AH136" s="4" t="n">
        <x:v>46274</x:v>
      </x:c>
      <x:c r="AI136" s="2" t="str">
        <x:v>数据不足</x:v>
      </x:c>
      <x:c r="AJ136" s="2" t="str">
        <x:v>数据不足</x:v>
      </x:c>
      <x:c r="AK136" s="2" t="str">
        <x:v>数据不足</x:v>
      </x:c>
      <x:c r="AL136" s="5"/>
      <x:c r="AM136" s="5"/>
      <x:c r="AN136" s="5"/>
      <x:c r="AO136" s="2" t="str">
        <x:v>C156</x:v>
      </x:c>
      <x:c r="AP136" s="2" t="n">
        <x:v>1</x:v>
      </x:c>
    </x:row>
    <x:row r="137" ht="26" customHeight="1">
      <x:c r="A137" s="2" t="n">
        <x:v>157</x:v>
      </x:c>
      <x:c r="B137" s="4" t="n">
        <x:v>46274</x:v>
      </x:c>
      <x:c r="C137" s="10" t="n">
        <x:v>46274.60429398148</x:v>
      </x:c>
      <x:c r="D137" s="2" t="str">
        <x:v>液化石油气</x:v>
      </x:c>
      <x:c r="E137" s="2" t="str">
        <x:v>PG2610</x:v>
      </x:c>
      <x:c r="F137" s="2" t="str">
        <x:v>苏冰</x:v>
      </x:c>
      <x:c r="G137" s="2" t="str">
        <x:v>15m</x:v>
      </x:c>
      <x:c r="H137" s="2" t="str">
        <x:v>多头</x:v>
      </x:c>
      <x:c r="I137" s="2" t="n">
        <x:v>1</x:v>
      </x:c>
      <x:c r="J137" s="10" t="n">
        <x:v>46274.604166666664</x:v>
      </x:c>
      <x:c r="K137" s="11"/>
      <x:c r="L137" s="10" t="n">
        <x:v>46274.60486111111</x:v>
      </x:c>
      <x:c r="M137" s="11"/>
      <x:c r="N137" s="11"/>
      <x:c r="O137" s="5" t="str">
        <x:f>IF(N137="","",I137*(N137/M137-1))</x:f>
      </x:c>
      <x:c r="P137" s="11"/>
      <x:c r="Q137" s="5" t="str">
        <x:f>IF(P137="","",I137*(P137/M137-1))</x:f>
      </x:c>
      <x:c r="R137" s="11"/>
      <x:c r="S137" s="5" t="str">
        <x:f>IF(R137="","",I137*(R137/M137-1))</x:f>
      </x:c>
      <x:c r="T137" s="2" t="str">
        <x:f>IF(R137="",AK137,IF(S137&gt;0,"有利",IF(S137&lt;0,"不利","持平")))</x:f>
        <x:v>数据不足</x:v>
      </x:c>
      <x:c r="U137" s="5"/>
      <x:c r="V137" s="5"/>
      <x:c r="W137" s="2" t="str">
        <x:v>本次未复算；前次：前次复算一致，本次未重算</x:v>
      </x:c>
      <x:c r="X137" s="2" t="str">
        <x:v>逐条结果未留存</x:v>
      </x:c>
      <x:c r="Y137" s="10"/>
      <x:c r="Z137" s="10"/>
      <x:c r="AA137" s="10"/>
      <x:c r="AB137" s="12" t="n">
        <x:v>11.720595</x:v>
      </x:c>
      <x:c r="AC137" s="2" t="str">
        <x:v>subing_ths_alert_15m_v1</x:v>
      </x:c>
      <x:c r="AD137" s="5"/>
      <x:c r="AE137" s="5"/>
      <x:c r="AF137" s="5"/>
      <x:c r="AG137" s="2" t="str">
        <x:v>此前已有</x:v>
      </x:c>
      <x:c r="AH137" s="4" t="n">
        <x:v>46274</x:v>
      </x:c>
      <x:c r="AI137" s="2" t="str">
        <x:v>数据不足</x:v>
      </x:c>
      <x:c r="AJ137" s="2" t="str">
        <x:v>数据不足</x:v>
      </x:c>
      <x:c r="AK137" s="2" t="str">
        <x:v>数据不足</x:v>
      </x:c>
      <x:c r="AL137" s="5"/>
      <x:c r="AM137" s="5"/>
      <x:c r="AN137" s="5"/>
      <x:c r="AO137" s="2" t="str">
        <x:v>C157</x:v>
      </x:c>
      <x:c r="AP137" s="2" t="n">
        <x:v>1</x:v>
      </x:c>
    </x:row>
    <x:row r="138" ht="26" customHeight="1">
      <x:c r="A138" s="2" t="n">
        <x:v>158</x:v>
      </x:c>
      <x:c r="B138" s="4" t="n">
        <x:v>46274</x:v>
      </x:c>
      <x:c r="C138" s="10" t="n">
        <x:v>46274.61462962963</x:v>
      </x:c>
      <x:c r="D138" s="2" t="str">
        <x:v>玻璃</x:v>
      </x:c>
      <x:c r="E138" s="2" t="str">
        <x:v>FG2701</x:v>
      </x:c>
      <x:c r="F138" s="2" t="str">
        <x:v>苏冰</x:v>
      </x:c>
      <x:c r="G138" s="2" t="str">
        <x:v>15m</x:v>
      </x:c>
      <x:c r="H138" s="2" t="str">
        <x:v>多头</x:v>
      </x:c>
      <x:c r="I138" s="2" t="n">
        <x:v>1</x:v>
      </x:c>
      <x:c r="J138" s="10" t="n">
        <x:v>46274.614583333336</x:v>
      </x:c>
      <x:c r="K138" s="11"/>
      <x:c r="L138" s="10" t="n">
        <x:v>46274.615277777775</x:v>
      </x:c>
      <x:c r="M138" s="11"/>
      <x:c r="N138" s="11"/>
      <x:c r="O138" s="5" t="str">
        <x:f>IF(N138="","",I138*(N138/M138-1))</x:f>
      </x:c>
      <x:c r="P138" s="11"/>
      <x:c r="Q138" s="5" t="str">
        <x:f>IF(P138="","",I138*(P138/M138-1))</x:f>
      </x:c>
      <x:c r="R138" s="11"/>
      <x:c r="S138" s="5" t="str">
        <x:f>IF(R138="","",I138*(R138/M138-1))</x:f>
      </x:c>
      <x:c r="T138" s="2" t="str">
        <x:f>IF(R138="",AK138,IF(S138&gt;0,"有利",IF(S138&lt;0,"不利","持平")))</x:f>
        <x:v>数据不足</x:v>
      </x:c>
      <x:c r="U138" s="5"/>
      <x:c r="V138" s="5"/>
      <x:c r="W138" s="2" t="str">
        <x:v>本次未复算；前次：前次复算一致，本次未重算</x:v>
      </x:c>
      <x:c r="X138" s="2" t="str">
        <x:v>逐条结果未留存</x:v>
      </x:c>
      <x:c r="Y138" s="10"/>
      <x:c r="Z138" s="10"/>
      <x:c r="AA138" s="10"/>
      <x:c r="AB138" s="12" t="n">
        <x:v>4.456866</x:v>
      </x:c>
      <x:c r="AC138" s="2" t="str">
        <x:v>subing_ths_alert_15m_v1</x:v>
      </x:c>
      <x:c r="AD138" s="5"/>
      <x:c r="AE138" s="5"/>
      <x:c r="AF138" s="5"/>
      <x:c r="AG138" s="2" t="str">
        <x:v>此前已有</x:v>
      </x:c>
      <x:c r="AH138" s="4" t="n">
        <x:v>46274</x:v>
      </x:c>
      <x:c r="AI138" s="2" t="str">
        <x:v>数据不足</x:v>
      </x:c>
      <x:c r="AJ138" s="2" t="str">
        <x:v>数据不足</x:v>
      </x:c>
      <x:c r="AK138" s="2" t="str">
        <x:v>数据不足</x:v>
      </x:c>
      <x:c r="AL138" s="5"/>
      <x:c r="AM138" s="5"/>
      <x:c r="AN138" s="5"/>
      <x:c r="AO138" s="2" t="str">
        <x:v>C158</x:v>
      </x:c>
      <x:c r="AP138" s="2" t="n">
        <x:v>1</x:v>
      </x:c>
    </x:row>
    <x:row r="139" ht="26" customHeight="1">
      <x:c r="A139" s="2" t="n">
        <x:v>159</x:v>
      </x:c>
      <x:c r="B139" s="4" t="n">
        <x:v>46274</x:v>
      </x:c>
      <x:c r="C139" s="10" t="n">
        <x:v>46274.614641203705</x:v>
      </x:c>
      <x:c r="D139" s="2" t="str">
        <x:v>丙烯</x:v>
      </x:c>
      <x:c r="E139" s="2" t="str">
        <x:v>PR2611</x:v>
      </x:c>
      <x:c r="F139" s="2" t="str">
        <x:v>苏冰</x:v>
      </x:c>
      <x:c r="G139" s="2" t="str">
        <x:v>15m</x:v>
      </x:c>
      <x:c r="H139" s="2" t="str">
        <x:v>多头</x:v>
      </x:c>
      <x:c r="I139" s="2" t="n">
        <x:v>1</x:v>
      </x:c>
      <x:c r="J139" s="10" t="n">
        <x:v>46274.614583333336</x:v>
      </x:c>
      <x:c r="K139" s="11"/>
      <x:c r="L139" s="10" t="n">
        <x:v>46274.615277777775</x:v>
      </x:c>
      <x:c r="M139" s="11"/>
      <x:c r="N139" s="11"/>
      <x:c r="O139" s="5" t="str">
        <x:f>IF(N139="","",I139*(N139/M139-1))</x:f>
      </x:c>
      <x:c r="P139" s="11"/>
      <x:c r="Q139" s="5" t="str">
        <x:f>IF(P139="","",I139*(P139/M139-1))</x:f>
      </x:c>
      <x:c r="R139" s="11"/>
      <x:c r="S139" s="5" t="str">
        <x:f>IF(R139="","",I139*(R139/M139-1))</x:f>
      </x:c>
      <x:c r="T139" s="2" t="str">
        <x:f>IF(R139="",AK139,IF(S139&gt;0,"有利",IF(S139&lt;0,"不利","持平")))</x:f>
        <x:v>数据不足</x:v>
      </x:c>
      <x:c r="U139" s="5"/>
      <x:c r="V139" s="5"/>
      <x:c r="W139" s="2" t="str">
        <x:v>本次未复算；前次：前次复算一致，本次未重算</x:v>
      </x:c>
      <x:c r="X139" s="2" t="str">
        <x:v>逐条结果未留存</x:v>
      </x:c>
      <x:c r="Y139" s="10"/>
      <x:c r="Z139" s="10"/>
      <x:c r="AA139" s="10"/>
      <x:c r="AB139" s="12" t="n">
        <x:v>5.032387</x:v>
      </x:c>
      <x:c r="AC139" s="2" t="str">
        <x:v>subing_ths_alert_15m_v1</x:v>
      </x:c>
      <x:c r="AD139" s="5"/>
      <x:c r="AE139" s="5"/>
      <x:c r="AF139" s="5"/>
      <x:c r="AG139" s="2" t="str">
        <x:v>此前已有</x:v>
      </x:c>
      <x:c r="AH139" s="4" t="n">
        <x:v>46274</x:v>
      </x:c>
      <x:c r="AI139" s="2" t="str">
        <x:v>数据不足</x:v>
      </x:c>
      <x:c r="AJ139" s="2" t="str">
        <x:v>数据不足</x:v>
      </x:c>
      <x:c r="AK139" s="2" t="str">
        <x:v>数据不足</x:v>
      </x:c>
      <x:c r="AL139" s="5"/>
      <x:c r="AM139" s="5"/>
      <x:c r="AN139" s="5"/>
      <x:c r="AO139" s="2" t="str">
        <x:v>C159</x:v>
      </x:c>
      <x:c r="AP139" s="2" t="n">
        <x:v>1</x:v>
      </x:c>
    </x:row>
    <x:row r="140" ht="26" customHeight="1">
      <x:c r="A140" s="2" t="n">
        <x:v>160</x:v>
      </x:c>
      <x:c r="B140" s="4" t="n">
        <x:v>46274</x:v>
      </x:c>
      <x:c r="C140" s="10" t="n">
        <x:v>46274.614641203705</x:v>
      </x:c>
      <x:c r="D140" s="2" t="str">
        <x:v>纯碱</x:v>
      </x:c>
      <x:c r="E140" s="2" t="str">
        <x:v>SA2701</x:v>
      </x:c>
      <x:c r="F140" s="2" t="str">
        <x:v>苏冰</x:v>
      </x:c>
      <x:c r="G140" s="2" t="str">
        <x:v>15m</x:v>
      </x:c>
      <x:c r="H140" s="2" t="str">
        <x:v>多头</x:v>
      </x:c>
      <x:c r="I140" s="2" t="n">
        <x:v>1</x:v>
      </x:c>
      <x:c r="J140" s="10" t="n">
        <x:v>46274.614583333336</x:v>
      </x:c>
      <x:c r="K140" s="11"/>
      <x:c r="L140" s="10" t="n">
        <x:v>46274.615277777775</x:v>
      </x:c>
      <x:c r="M140" s="11"/>
      <x:c r="N140" s="11"/>
      <x:c r="O140" s="5" t="str">
        <x:f>IF(N140="","",I140*(N140/M140-1))</x:f>
      </x:c>
      <x:c r="P140" s="11"/>
      <x:c r="Q140" s="5" t="str">
        <x:f>IF(P140="","",I140*(P140/M140-1))</x:f>
      </x:c>
      <x:c r="R140" s="11"/>
      <x:c r="S140" s="5" t="str">
        <x:f>IF(R140="","",I140*(R140/M140-1))</x:f>
      </x:c>
      <x:c r="T140" s="2" t="str">
        <x:f>IF(R140="",AK140,IF(S140&gt;0,"有利",IF(S140&lt;0,"不利","持平")))</x:f>
        <x:v>数据不足</x:v>
      </x:c>
      <x:c r="U140" s="5"/>
      <x:c r="V140" s="5"/>
      <x:c r="W140" s="2" t="str">
        <x:v>本次未复算；前次：前次复算一致，本次未重算</x:v>
      </x:c>
      <x:c r="X140" s="2" t="str">
        <x:v>逐条结果未留存</x:v>
      </x:c>
      <x:c r="Y140" s="10"/>
      <x:c r="Z140" s="10"/>
      <x:c r="AA140" s="10"/>
      <x:c r="AB140" s="12" t="n">
        <x:v>5.581165</x:v>
      </x:c>
      <x:c r="AC140" s="2" t="str">
        <x:v>subing_ths_alert_15m_v1</x:v>
      </x:c>
      <x:c r="AD140" s="5"/>
      <x:c r="AE140" s="5"/>
      <x:c r="AF140" s="5"/>
      <x:c r="AG140" s="2" t="str">
        <x:v>此前已有</x:v>
      </x:c>
      <x:c r="AH140" s="4" t="n">
        <x:v>46274</x:v>
      </x:c>
      <x:c r="AI140" s="2" t="str">
        <x:v>数据不足</x:v>
      </x:c>
      <x:c r="AJ140" s="2" t="str">
        <x:v>数据不足</x:v>
      </x:c>
      <x:c r="AK140" s="2" t="str">
        <x:v>数据不足</x:v>
      </x:c>
      <x:c r="AL140" s="5"/>
      <x:c r="AM140" s="5"/>
      <x:c r="AN140" s="5"/>
      <x:c r="AO140" s="2" t="str">
        <x:v>C160</x:v>
      </x:c>
      <x:c r="AP140" s="2" t="n">
        <x:v>1</x:v>
      </x:c>
    </x:row>
    <x:row r="141" ht="26" customHeight="1">
      <x:c r="A141" s="2" t="n">
        <x:v>161</x:v>
      </x:c>
      <x:c r="B141" s="4" t="n">
        <x:v>46274</x:v>
      </x:c>
      <x:c r="C141" s="10" t="n">
        <x:v>46274.614641203705</x:v>
      </x:c>
      <x:c r="D141" s="2" t="str">
        <x:v>pta</x:v>
      </x:c>
      <x:c r="E141" s="2" t="str">
        <x:v>TA2701</x:v>
      </x:c>
      <x:c r="F141" s="2" t="str">
        <x:v>苏冰</x:v>
      </x:c>
      <x:c r="G141" s="2" t="str">
        <x:v>15m</x:v>
      </x:c>
      <x:c r="H141" s="2" t="str">
        <x:v>多头</x:v>
      </x:c>
      <x:c r="I141" s="2" t="n">
        <x:v>1</x:v>
      </x:c>
      <x:c r="J141" s="10" t="n">
        <x:v>46274.614583333336</x:v>
      </x:c>
      <x:c r="K141" s="11"/>
      <x:c r="L141" s="10" t="n">
        <x:v>46274.615277777775</x:v>
      </x:c>
      <x:c r="M141" s="11"/>
      <x:c r="N141" s="11"/>
      <x:c r="O141" s="5" t="str">
        <x:f>IF(N141="","",I141*(N141/M141-1))</x:f>
      </x:c>
      <x:c r="P141" s="11"/>
      <x:c r="Q141" s="5" t="str">
        <x:f>IF(P141="","",I141*(P141/M141-1))</x:f>
      </x:c>
      <x:c r="R141" s="11"/>
      <x:c r="S141" s="5" t="str">
        <x:f>IF(R141="","",I141*(R141/M141-1))</x:f>
      </x:c>
      <x:c r="T141" s="2" t="str">
        <x:f>IF(R141="",AK141,IF(S141&gt;0,"有利",IF(S141&lt;0,"不利","持平")))</x:f>
        <x:v>数据不足</x:v>
      </x:c>
      <x:c r="U141" s="5"/>
      <x:c r="V141" s="5"/>
      <x:c r="W141" s="2" t="str">
        <x:v>本次未复算；前次：前次复算一致，本次未重算</x:v>
      </x:c>
      <x:c r="X141" s="2" t="str">
        <x:v>逐条结果未留存</x:v>
      </x:c>
      <x:c r="Y141" s="10"/>
      <x:c r="Z141" s="10"/>
      <x:c r="AA141" s="10"/>
      <x:c r="AB141" s="12" t="n">
        <x:v>5.742653</x:v>
      </x:c>
      <x:c r="AC141" s="2" t="str">
        <x:v>subing_ths_alert_15m_v1</x:v>
      </x:c>
      <x:c r="AD141" s="5"/>
      <x:c r="AE141" s="5"/>
      <x:c r="AF141" s="5"/>
      <x:c r="AG141" s="2" t="str">
        <x:v>此前已有</x:v>
      </x:c>
      <x:c r="AH141" s="4" t="n">
        <x:v>46274</x:v>
      </x:c>
      <x:c r="AI141" s="2" t="str">
        <x:v>数据不足</x:v>
      </x:c>
      <x:c r="AJ141" s="2" t="str">
        <x:v>数据不足</x:v>
      </x:c>
      <x:c r="AK141" s="2" t="str">
        <x:v>数据不足</x:v>
      </x:c>
      <x:c r="AL141" s="5"/>
      <x:c r="AM141" s="5"/>
      <x:c r="AN141" s="5"/>
      <x:c r="AO141" s="2" t="str">
        <x:v>C161</x:v>
      </x:c>
      <x:c r="AP141" s="2" t="n">
        <x:v>1</x:v>
      </x:c>
    </x:row>
    <x:row r="142" ht="26" customHeight="1">
      <x:c r="A142" s="2" t="n">
        <x:v>162</x:v>
      </x:c>
      <x:c r="B142" s="4" t="n">
        <x:v>46274</x:v>
      </x:c>
      <x:c r="C142" s="10" t="n">
        <x:v>46274.61466435185</x:v>
      </x:c>
      <x:c r="D142" s="2" t="str">
        <x:v>燃料油</x:v>
      </x:c>
      <x:c r="E142" s="2" t="str">
        <x:v>FU2611</x:v>
      </x:c>
      <x:c r="F142" s="2" t="str">
        <x:v>苏冰</x:v>
      </x:c>
      <x:c r="G142" s="2" t="str">
        <x:v>15m</x:v>
      </x:c>
      <x:c r="H142" s="2" t="str">
        <x:v>多头</x:v>
      </x:c>
      <x:c r="I142" s="2" t="n">
        <x:v>1</x:v>
      </x:c>
      <x:c r="J142" s="10" t="n">
        <x:v>46274.614583333336</x:v>
      </x:c>
      <x:c r="K142" s="11"/>
      <x:c r="L142" s="10" t="n">
        <x:v>46274.615277777775</x:v>
      </x:c>
      <x:c r="M142" s="11"/>
      <x:c r="N142" s="11"/>
      <x:c r="O142" s="5" t="str">
        <x:f>IF(N142="","",I142*(N142/M142-1))</x:f>
      </x:c>
      <x:c r="P142" s="11"/>
      <x:c r="Q142" s="5" t="str">
        <x:f>IF(P142="","",I142*(P142/M142-1))</x:f>
      </x:c>
      <x:c r="R142" s="11"/>
      <x:c r="S142" s="5" t="str">
        <x:f>IF(R142="","",I142*(R142/M142-1))</x:f>
      </x:c>
      <x:c r="T142" s="2" t="str">
        <x:f>IF(R142="",AK142,IF(S142&gt;0,"有利",IF(S142&lt;0,"不利","持平")))</x:f>
        <x:v>数据不足</x:v>
      </x:c>
      <x:c r="U142" s="5"/>
      <x:c r="V142" s="5"/>
      <x:c r="W142" s="2" t="str">
        <x:v>本次未复算；前次：前次复算一致，本次未重算</x:v>
      </x:c>
      <x:c r="X142" s="2" t="str">
        <x:v>逐条结果未留存</x:v>
      </x:c>
      <x:c r="Y142" s="10"/>
      <x:c r="Z142" s="10"/>
      <x:c r="AA142" s="10"/>
      <x:c r="AB142" s="12" t="n">
        <x:v>7.392758</x:v>
      </x:c>
      <x:c r="AC142" s="2" t="str">
        <x:v>subing_ths_alert_15m_v1</x:v>
      </x:c>
      <x:c r="AD142" s="5"/>
      <x:c r="AE142" s="5"/>
      <x:c r="AF142" s="5"/>
      <x:c r="AG142" s="2" t="str">
        <x:v>此前已有</x:v>
      </x:c>
      <x:c r="AH142" s="4" t="n">
        <x:v>46274</x:v>
      </x:c>
      <x:c r="AI142" s="2" t="str">
        <x:v>数据不足</x:v>
      </x:c>
      <x:c r="AJ142" s="2" t="str">
        <x:v>数据不足</x:v>
      </x:c>
      <x:c r="AK142" s="2" t="str">
        <x:v>数据不足</x:v>
      </x:c>
      <x:c r="AL142" s="5"/>
      <x:c r="AM142" s="5"/>
      <x:c r="AN142" s="5"/>
      <x:c r="AO142" s="2" t="str">
        <x:v>C162</x:v>
      </x:c>
      <x:c r="AP142" s="2" t="n">
        <x:v>1</x:v>
      </x:c>
    </x:row>
    <x:row r="143" ht="26" customHeight="1">
      <x:c r="A143" s="2" t="n">
        <x:v>163</x:v>
      </x:c>
      <x:c r="B143" s="4" t="n">
        <x:v>46274</x:v>
      </x:c>
      <x:c r="C143" s="10" t="n">
        <x:v>46274.61467592593</x:v>
      </x:c>
      <x:c r="D143" s="2" t="str">
        <x:v>天然橡胶</x:v>
      </x:c>
      <x:c r="E143" s="2" t="str">
        <x:v>RU2701</x:v>
      </x:c>
      <x:c r="F143" s="2" t="str">
        <x:v>苏冰</x:v>
      </x:c>
      <x:c r="G143" s="2" t="str">
        <x:v>15m</x:v>
      </x:c>
      <x:c r="H143" s="2" t="str">
        <x:v>多头</x:v>
      </x:c>
      <x:c r="I143" s="2" t="n">
        <x:v>1</x:v>
      </x:c>
      <x:c r="J143" s="10" t="n">
        <x:v>46274.614583333336</x:v>
      </x:c>
      <x:c r="K143" s="11"/>
      <x:c r="L143" s="10" t="n">
        <x:v>46274.615277777775</x:v>
      </x:c>
      <x:c r="M143" s="11"/>
      <x:c r="N143" s="11"/>
      <x:c r="O143" s="5" t="str">
        <x:f>IF(N143="","",I143*(N143/M143-1))</x:f>
      </x:c>
      <x:c r="P143" s="11"/>
      <x:c r="Q143" s="5" t="str">
        <x:f>IF(P143="","",I143*(P143/M143-1))</x:f>
      </x:c>
      <x:c r="R143" s="11"/>
      <x:c r="S143" s="5" t="str">
        <x:f>IF(R143="","",I143*(R143/M143-1))</x:f>
      </x:c>
      <x:c r="T143" s="2" t="str">
        <x:f>IF(R143="",AK143,IF(S143&gt;0,"有利",IF(S143&lt;0,"不利","持平")))</x:f>
        <x:v>数据不足</x:v>
      </x:c>
      <x:c r="U143" s="5"/>
      <x:c r="V143" s="5"/>
      <x:c r="W143" s="2" t="str">
        <x:v>本次未复算；前次：前次复算一致，本次未重算</x:v>
      </x:c>
      <x:c r="X143" s="2" t="str">
        <x:v>逐条结果未留存</x:v>
      </x:c>
      <x:c r="Y143" s="10"/>
      <x:c r="Z143" s="10"/>
      <x:c r="AA143" s="10"/>
      <x:c r="AB143" s="12" t="n">
        <x:v>8.186343</x:v>
      </x:c>
      <x:c r="AC143" s="2" t="str">
        <x:v>subing_ths_alert_15m_v1</x:v>
      </x:c>
      <x:c r="AD143" s="5"/>
      <x:c r="AE143" s="5"/>
      <x:c r="AF143" s="5"/>
      <x:c r="AG143" s="2" t="str">
        <x:v>此前已有</x:v>
      </x:c>
      <x:c r="AH143" s="4" t="n">
        <x:v>46274</x:v>
      </x:c>
      <x:c r="AI143" s="2" t="str">
        <x:v>数据不足</x:v>
      </x:c>
      <x:c r="AJ143" s="2" t="str">
        <x:v>数据不足</x:v>
      </x:c>
      <x:c r="AK143" s="2" t="str">
        <x:v>数据不足</x:v>
      </x:c>
      <x:c r="AL143" s="5"/>
      <x:c r="AM143" s="5"/>
      <x:c r="AN143" s="5"/>
      <x:c r="AO143" s="2" t="str">
        <x:v>C163</x:v>
      </x:c>
      <x:c r="AP143" s="2" t="n">
        <x:v>1</x:v>
      </x:c>
    </x:row>
    <x:row r="144" ht="26" customHeight="1">
      <x:c r="A144" s="2" t="n">
        <x:v>164</x:v>
      </x:c>
      <x:c r="B144" s="4" t="n">
        <x:v>46274</x:v>
      </x:c>
      <x:c r="C144" s="10" t="n">
        <x:v>46274.6146875</x:v>
      </x:c>
      <x:c r="D144" s="2" t="str">
        <x:v>pvc</x:v>
      </x:c>
      <x:c r="E144" s="2" t="str">
        <x:v>V2701</x:v>
      </x:c>
      <x:c r="F144" s="2" t="str">
        <x:v>苏冰</x:v>
      </x:c>
      <x:c r="G144" s="2" t="str">
        <x:v>15m</x:v>
      </x:c>
      <x:c r="H144" s="2" t="str">
        <x:v>多头</x:v>
      </x:c>
      <x:c r="I144" s="2" t="n">
        <x:v>1</x:v>
      </x:c>
      <x:c r="J144" s="10" t="n">
        <x:v>46274.614583333336</x:v>
      </x:c>
      <x:c r="K144" s="11"/>
      <x:c r="L144" s="10" t="n">
        <x:v>46274.615277777775</x:v>
      </x:c>
      <x:c r="M144" s="11"/>
      <x:c r="N144" s="11"/>
      <x:c r="O144" s="5" t="str">
        <x:f>IF(N144="","",I144*(N144/M144-1))</x:f>
      </x:c>
      <x:c r="P144" s="11"/>
      <x:c r="Q144" s="5" t="str">
        <x:f>IF(P144="","",I144*(P144/M144-1))</x:f>
      </x:c>
      <x:c r="R144" s="11"/>
      <x:c r="S144" s="5" t="str">
        <x:f>IF(R144="","",I144*(R144/M144-1))</x:f>
      </x:c>
      <x:c r="T144" s="2" t="str">
        <x:f>IF(R144="",AK144,IF(S144&gt;0,"有利",IF(S144&lt;0,"不利","持平")))</x:f>
        <x:v>数据不足</x:v>
      </x:c>
      <x:c r="U144" s="5"/>
      <x:c r="V144" s="5"/>
      <x:c r="W144" s="2" t="str">
        <x:v>本次未复算；前次：前次复算一致，本次未重算</x:v>
      </x:c>
      <x:c r="X144" s="2" t="str">
        <x:v>transport_failed</x:v>
      </x:c>
      <x:c r="Y144" s="10"/>
      <x:c r="Z144" s="10"/>
      <x:c r="AA144" s="10"/>
      <x:c r="AB144" s="12" t="n">
        <x:v>9.918868</x:v>
      </x:c>
      <x:c r="AC144" s="2" t="str">
        <x:v>subing_ths_alert_15m_v1</x:v>
      </x:c>
      <x:c r="AD144" s="5"/>
      <x:c r="AE144" s="5"/>
      <x:c r="AF144" s="5"/>
      <x:c r="AG144" s="2" t="str">
        <x:v>此前已有</x:v>
      </x:c>
      <x:c r="AH144" s="4" t="n">
        <x:v>46274</x:v>
      </x:c>
      <x:c r="AI144" s="2" t="str">
        <x:v>数据不足</x:v>
      </x:c>
      <x:c r="AJ144" s="2" t="str">
        <x:v>数据不足</x:v>
      </x:c>
      <x:c r="AK144" s="2" t="str">
        <x:v>数据不足</x:v>
      </x:c>
      <x:c r="AL144" s="5"/>
      <x:c r="AM144" s="5"/>
      <x:c r="AN144" s="5"/>
      <x:c r="AO144" s="2" t="str">
        <x:v>C164</x:v>
      </x:c>
      <x:c r="AP144" s="2" t="n">
        <x:v>1</x:v>
      </x:c>
    </x:row>
    <x:row r="145" ht="26" customHeight="1">
      <x:c r="A145" s="2" t="n">
        <x:v>165</x:v>
      </x:c>
      <x:c r="B145" s="4" t="n">
        <x:v>46274</x:v>
      </x:c>
      <x:c r="C145" s="10" t="n">
        <x:v>46274.62505787037</x:v>
      </x:c>
      <x:c r="D145" s="2" t="str">
        <x:v>豆一</x:v>
      </x:c>
      <x:c r="E145" s="2" t="str">
        <x:v>A2611</x:v>
      </x:c>
      <x:c r="F145" s="2" t="str">
        <x:v>苏冰</x:v>
      </x:c>
      <x:c r="G145" s="2" t="str">
        <x:v>15m</x:v>
      </x:c>
      <x:c r="H145" s="2" t="str">
        <x:v>多头</x:v>
      </x:c>
      <x:c r="I145" s="2" t="n">
        <x:v>1</x:v>
      </x:c>
      <x:c r="J145" s="10" t="n">
        <x:v>46274.625</x:v>
      </x:c>
      <x:c r="K145" s="11"/>
      <x:c r="L145" s="10" t="n">
        <x:v>46274.87569444445</x:v>
      </x:c>
      <x:c r="M145" s="11"/>
      <x:c r="N145" s="11"/>
      <x:c r="O145" s="5" t="str">
        <x:f>IF(N145="","",I145*(N145/M145-1))</x:f>
      </x:c>
      <x:c r="P145" s="11"/>
      <x:c r="Q145" s="5" t="str">
        <x:f>IF(P145="","",I145*(P145/M145-1))</x:f>
      </x:c>
      <x:c r="R145" s="11"/>
      <x:c r="S145" s="5" t="str">
        <x:f>IF(R145="","",I145*(R145/M145-1))</x:f>
      </x:c>
      <x:c r="T145" s="2" t="str">
        <x:f>IF(R145="",AK145,IF(S145&gt;0,"有利",IF(S145&lt;0,"不利","持平")))</x:f>
        <x:v>数据不足</x:v>
      </x:c>
      <x:c r="U145" s="5"/>
      <x:c r="V145" s="5"/>
      <x:c r="W145" s="2" t="str">
        <x:v>本次未复算；前次：前次复算一致，本次未重算</x:v>
      </x:c>
      <x:c r="X145" s="2" t="str">
        <x:v>逐条结果未留存</x:v>
      </x:c>
      <x:c r="Y145" s="10"/>
      <x:c r="Z145" s="10"/>
      <x:c r="AA145" s="10"/>
      <x:c r="AB145" s="12" t="n">
        <x:v>5.970388</x:v>
      </x:c>
      <x:c r="AC145" s="2" t="str">
        <x:v>subing_ths_alert_15m_v1</x:v>
      </x:c>
      <x:c r="AD145" s="5"/>
      <x:c r="AE145" s="5"/>
      <x:c r="AF145" s="5"/>
      <x:c r="AG145" s="2" t="str">
        <x:v>此前已有</x:v>
      </x:c>
      <x:c r="AH145" s="4" t="n">
        <x:v>46274</x:v>
      </x:c>
      <x:c r="AI145" s="2" t="str">
        <x:v>数据不足</x:v>
      </x:c>
      <x:c r="AJ145" s="2" t="str">
        <x:v>数据不足</x:v>
      </x:c>
      <x:c r="AK145" s="2" t="str">
        <x:v>数据不足</x:v>
      </x:c>
      <x:c r="AL145" s="5" t="n">
        <x:v>0.001941747572815534</x:v>
      </x:c>
      <x:c r="AM145" s="5" t="n">
        <x:v>0.002330097087378641</x:v>
      </x:c>
      <x:c r="AN145" s="5" t="n">
        <x:v>-0.007572815533980583</x:v>
      </x:c>
      <x:c r="AO145" s="2" t="str">
        <x:v>C165</x:v>
      </x:c>
      <x:c r="AP145" s="2" t="n">
        <x:v>1</x:v>
      </x:c>
    </x:row>
    <x:row r="146" ht="26" customHeight="1">
      <x:c r="A146" s="2" t="n">
        <x:v>166</x:v>
      </x:c>
      <x:c r="B146" s="4" t="n">
        <x:v>46274</x:v>
      </x:c>
      <x:c r="C146" s="10" t="n">
        <x:v>46274.625127314815</x:v>
      </x:c>
      <x:c r="D146" s="2" t="str">
        <x:v>铜</x:v>
      </x:c>
      <x:c r="E146" s="2" t="str">
        <x:v>CU2610</x:v>
      </x:c>
      <x:c r="F146" s="2" t="str">
        <x:v>苏冰</x:v>
      </x:c>
      <x:c r="G146" s="2" t="str">
        <x:v>15m</x:v>
      </x:c>
      <x:c r="H146" s="2" t="str">
        <x:v>多头</x:v>
      </x:c>
      <x:c r="I146" s="2" t="n">
        <x:v>1</x:v>
      </x:c>
      <x:c r="J146" s="10" t="n">
        <x:v>46274.625</x:v>
      </x:c>
      <x:c r="K146" s="11"/>
      <x:c r="L146" s="10" t="n">
        <x:v>46274.87569444445</x:v>
      </x:c>
      <x:c r="M146" s="11"/>
      <x:c r="N146" s="11"/>
      <x:c r="O146" s="5" t="str">
        <x:f>IF(N146="","",I146*(N146/M146-1))</x:f>
      </x:c>
      <x:c r="P146" s="11"/>
      <x:c r="Q146" s="5" t="str">
        <x:f>IF(P146="","",I146*(P146/M146-1))</x:f>
      </x:c>
      <x:c r="R146" s="11"/>
      <x:c r="S146" s="5" t="str">
        <x:f>IF(R146="","",I146*(R146/M146-1))</x:f>
      </x:c>
      <x:c r="T146" s="2" t="str">
        <x:f>IF(R146="",AK146,IF(S146&gt;0,"有利",IF(S146&lt;0,"不利","持平")))</x:f>
        <x:v>数据不足</x:v>
      </x:c>
      <x:c r="U146" s="5"/>
      <x:c r="V146" s="5"/>
      <x:c r="W146" s="2" t="str">
        <x:v>本次未复算；前次：前次复算一致，本次未重算</x:v>
      </x:c>
      <x:c r="X146" s="2" t="str">
        <x:v>逐条结果未留存</x:v>
      </x:c>
      <x:c r="Y146" s="10"/>
      <x:c r="Z146" s="10"/>
      <x:c r="AA146" s="10"/>
      <x:c r="AB146" s="12" t="n">
        <x:v>11.367104</x:v>
      </x:c>
      <x:c r="AC146" s="2" t="str">
        <x:v>subing_ths_alert_15m_v1</x:v>
      </x:c>
      <x:c r="AD146" s="5"/>
      <x:c r="AE146" s="5"/>
      <x:c r="AF146" s="5"/>
      <x:c r="AG146" s="2" t="str">
        <x:v>此前已有</x:v>
      </x:c>
      <x:c r="AH146" s="4" t="n">
        <x:v>46274</x:v>
      </x:c>
      <x:c r="AI146" s="2" t="str">
        <x:v>数据不足</x:v>
      </x:c>
      <x:c r="AJ146" s="2" t="str">
        <x:v>数据不足</x:v>
      </x:c>
      <x:c r="AK146" s="2" t="str">
        <x:v>数据不足</x:v>
      </x:c>
      <x:c r="AL146" s="5" t="n">
        <x:v>-0.00017974296755639437</x:v>
      </x:c>
      <x:c r="AM146" s="5" t="n">
        <x:v>0.001977172643120338</x:v>
      </x:c>
      <x:c r="AN146" s="5" t="n">
        <x:v>0.00044935741889098586</x:v>
      </x:c>
      <x:c r="AO146" s="2" t="str">
        <x:v>C166</x:v>
      </x:c>
      <x:c r="AP146" s="2" t="n">
        <x:v>1</x:v>
      </x:c>
    </x:row>
    <x:row r="147" ht="26" customHeight="1">
      <x:c r="A147" s="2" t="n">
        <x:v>167</x:v>
      </x:c>
      <x:c r="B147" s="4" t="n">
        <x:v>46274</x:v>
      </x:c>
      <x:c r="C147" s="10" t="n">
        <x:v>46274.625185185185</x:v>
      </x:c>
      <x:c r="D147" s="2" t="str">
        <x:v>红枣</x:v>
      </x:c>
      <x:c r="E147" s="2" t="str">
        <x:v>CJ2701</x:v>
      </x:c>
      <x:c r="F147" s="2" t="str">
        <x:v>苏冰</x:v>
      </x:c>
      <x:c r="G147" s="2" t="str">
        <x:v>15m</x:v>
      </x:c>
      <x:c r="H147" s="2" t="str">
        <x:v>多头</x:v>
      </x:c>
      <x:c r="I147" s="2" t="n">
        <x:v>1</x:v>
      </x:c>
      <x:c r="J147" s="10" t="n">
        <x:v>46274.625</x:v>
      </x:c>
      <x:c r="K147" s="11"/>
      <x:c r="L147" s="10" t="n">
        <x:v>46275.37569444445</x:v>
      </x:c>
      <x:c r="M147" s="11"/>
      <x:c r="N147" s="11"/>
      <x:c r="O147" s="5" t="str">
        <x:f>IF(N147="","",I147*(N147/M147-1))</x:f>
      </x:c>
      <x:c r="P147" s="11"/>
      <x:c r="Q147" s="5" t="str">
        <x:f>IF(P147="","",I147*(P147/M147-1))</x:f>
      </x:c>
      <x:c r="R147" s="11"/>
      <x:c r="S147" s="5" t="str">
        <x:f>IF(R147="","",I147*(R147/M147-1))</x:f>
      </x:c>
      <x:c r="T147" s="2" t="str">
        <x:f>IF(R147="",AK147,IF(S147&gt;0,"有利",IF(S147&lt;0,"不利","持平")))</x:f>
        <x:v>数据不足</x:v>
      </x:c>
      <x:c r="U147" s="5"/>
      <x:c r="V147" s="5"/>
      <x:c r="W147" s="2" t="str">
        <x:v>本次未复算；前次：前次复算一致，本次未重算</x:v>
      </x:c>
      <x:c r="X147" s="2" t="str">
        <x:v>provider_accepted</x:v>
      </x:c>
      <x:c r="Y147" s="10"/>
      <x:c r="Z147" s="10"/>
      <x:c r="AA147" s="10"/>
      <x:c r="AB147" s="12" t="n">
        <x:v>16.564108</x:v>
      </x:c>
      <x:c r="AC147" s="2" t="str">
        <x:v>subing_ths_alert_15m_v1</x:v>
      </x:c>
      <x:c r="AD147" s="5"/>
      <x:c r="AE147" s="5"/>
      <x:c r="AF147" s="5"/>
      <x:c r="AG147" s="2" t="str">
        <x:v>此前已有</x:v>
      </x:c>
      <x:c r="AH147" s="4" t="n">
        <x:v>46274</x:v>
      </x:c>
      <x:c r="AI147" s="2" t="str">
        <x:v>数据不足</x:v>
      </x:c>
      <x:c r="AJ147" s="2" t="str">
        <x:v>数据不足</x:v>
      </x:c>
      <x:c r="AK147" s="2" t="str">
        <x:v>数据不足</x:v>
      </x:c>
      <x:c r="AL147" s="5" t="n">
        <x:v>-0.0069356872635561164</x:v>
      </x:c>
      <x:c r="AM147" s="5" t="n">
        <x:v>-0.010718789407313998</x:v>
      </x:c>
      <x:c r="AN147" s="5" t="n">
        <x:v>-0.008827238335435058</x:v>
      </x:c>
      <x:c r="AO147" s="2" t="str">
        <x:v>C167</x:v>
      </x:c>
      <x:c r="AP147" s="2" t="n">
        <x:v>1</x:v>
      </x:c>
    </x:row>
    <x:row r="148" ht="26" customHeight="1">
      <x:c r="A148" s="2" t="n">
        <x:v>168</x:v>
      </x:c>
      <x:c r="B148" s="4" t="n">
        <x:v>46274</x:v>
      </x:c>
      <x:c r="C148" s="10" t="n">
        <x:v>46274.88545138889</x:v>
      </x:c>
      <x:c r="D148" s="2" t="str">
        <x:v>玻璃</x:v>
      </x:c>
      <x:c r="E148" s="2" t="str">
        <x:v>FG2701</x:v>
      </x:c>
      <x:c r="F148" s="2" t="str">
        <x:v>苏冰</x:v>
      </x:c>
      <x:c r="G148" s="2" t="str">
        <x:v>15m</x:v>
      </x:c>
      <x:c r="H148" s="2" t="str">
        <x:v>空头</x:v>
      </x:c>
      <x:c r="I148" s="2" t="n">
        <x:v>-1</x:v>
      </x:c>
      <x:c r="J148" s="10" t="n">
        <x:v>46274.885416666664</x:v>
      </x:c>
      <x:c r="K148" s="11"/>
      <x:c r="L148" s="10" t="n">
        <x:v>46274.88611111111</x:v>
      </x:c>
      <x:c r="M148" s="11"/>
      <x:c r="N148" s="11"/>
      <x:c r="O148" s="5" t="str">
        <x:f>IF(N148="","",I148*(N148/M148-1))</x:f>
      </x:c>
      <x:c r="P148" s="11"/>
      <x:c r="Q148" s="5" t="str">
        <x:f>IF(P148="","",I148*(P148/M148-1))</x:f>
      </x:c>
      <x:c r="R148" s="11"/>
      <x:c r="S148" s="5" t="str">
        <x:f>IF(R148="","",I148*(R148/M148-1))</x:f>
      </x:c>
      <x:c r="T148" s="2" t="str">
        <x:f>IF(R148="",AK148,IF(S148&gt;0,"有利",IF(S148&lt;0,"不利","持平")))</x:f>
        <x:v>数据不足</x:v>
      </x:c>
      <x:c r="U148" s="5"/>
      <x:c r="V148" s="5"/>
      <x:c r="W148" s="2" t="str">
        <x:v>本次未复算；前次：公式复算数据不足</x:v>
      </x:c>
      <x:c r="X148" s="2" t="str">
        <x:v>逐条结果未留存</x:v>
      </x:c>
      <x:c r="Y148" s="10"/>
      <x:c r="Z148" s="10"/>
      <x:c r="AA148" s="10"/>
      <x:c r="AB148" s="12" t="n">
        <x:v>3.187536</x:v>
      </x:c>
      <x:c r="AC148" s="2" t="str">
        <x:v>subing_ths_alert_15m_v1</x:v>
      </x:c>
      <x:c r="AD148" s="5"/>
      <x:c r="AE148" s="5"/>
      <x:c r="AF148" s="5"/>
      <x:c r="AG148" s="2" t="str">
        <x:v>此前已有</x:v>
      </x:c>
      <x:c r="AH148" s="4" t="n">
        <x:v>46275</x:v>
      </x:c>
      <x:c r="AI148" s="2" t="str">
        <x:v>数据不足</x:v>
      </x:c>
      <x:c r="AJ148" s="2" t="str">
        <x:v>数据不足</x:v>
      </x:c>
      <x:c r="AK148" s="2" t="str">
        <x:v>数据不足</x:v>
      </x:c>
      <x:c r="AL148" s="5" t="n">
        <x:v>0</x:v>
      </x:c>
      <x:c r="AM148" s="5" t="n">
        <x:v>0.007276507276507277</x:v>
      </x:c>
      <x:c r="AN148" s="5" t="n">
        <x:v>0.006237006237006237</x:v>
      </x:c>
      <x:c r="AO148" s="2" t="str">
        <x:v>C168</x:v>
      </x:c>
      <x:c r="AP148" s="2" t="n">
        <x:v>1</x:v>
      </x:c>
    </x:row>
    <x:row r="149" ht="26" customHeight="1">
      <x:c r="A149" s="2" t="n">
        <x:v>169</x:v>
      </x:c>
      <x:c r="B149" s="4" t="n">
        <x:v>46274</x:v>
      </x:c>
      <x:c r="C149" s="10" t="n">
        <x:v>46274.88545138889</x:v>
      </x:c>
      <x:c r="D149" s="2" t="str">
        <x:v>对二甲苯</x:v>
      </x:c>
      <x:c r="E149" s="2" t="str">
        <x:v>PX2611</x:v>
      </x:c>
      <x:c r="F149" s="2" t="str">
        <x:v>苏冰</x:v>
      </x:c>
      <x:c r="G149" s="2" t="str">
        <x:v>15m</x:v>
      </x:c>
      <x:c r="H149" s="2" t="str">
        <x:v>多头</x:v>
      </x:c>
      <x:c r="I149" s="2" t="n">
        <x:v>1</x:v>
      </x:c>
      <x:c r="J149" s="10" t="n">
        <x:v>46274.885416666664</x:v>
      </x:c>
      <x:c r="K149" s="11"/>
      <x:c r="L149" s="10" t="n">
        <x:v>46274.88611111111</x:v>
      </x:c>
      <x:c r="M149" s="11"/>
      <x:c r="N149" s="11"/>
      <x:c r="O149" s="5" t="str">
        <x:f>IF(N149="","",I149*(N149/M149-1))</x:f>
      </x:c>
      <x:c r="P149" s="11"/>
      <x:c r="Q149" s="5" t="str">
        <x:f>IF(P149="","",I149*(P149/M149-1))</x:f>
      </x:c>
      <x:c r="R149" s="11"/>
      <x:c r="S149" s="5" t="str">
        <x:f>IF(R149="","",I149*(R149/M149-1))</x:f>
      </x:c>
      <x:c r="T149" s="2" t="str">
        <x:f>IF(R149="",AK149,IF(S149&gt;0,"有利",IF(S149&lt;0,"不利","持平")))</x:f>
        <x:v>数据不足</x:v>
      </x:c>
      <x:c r="U149" s="5"/>
      <x:c r="V149" s="5"/>
      <x:c r="W149" s="2" t="str">
        <x:v>本次未复算；前次：公式复算数据不足</x:v>
      </x:c>
      <x:c r="X149" s="2" t="str">
        <x:v>逐条结果未留存</x:v>
      </x:c>
      <x:c r="Y149" s="10"/>
      <x:c r="Z149" s="10"/>
      <x:c r="AA149" s="10"/>
      <x:c r="AB149" s="12" t="n">
        <x:v>3.7588</x:v>
      </x:c>
      <x:c r="AC149" s="2" t="str">
        <x:v>subing_ths_alert_15m_v1</x:v>
      </x:c>
      <x:c r="AD149" s="5"/>
      <x:c r="AE149" s="5"/>
      <x:c r="AF149" s="5"/>
      <x:c r="AG149" s="2" t="str">
        <x:v>此前已有</x:v>
      </x:c>
      <x:c r="AH149" s="4" t="n">
        <x:v>46275</x:v>
      </x:c>
      <x:c r="AI149" s="2" t="str">
        <x:v>数据不足</x:v>
      </x:c>
      <x:c r="AJ149" s="2" t="str">
        <x:v>数据不足</x:v>
      </x:c>
      <x:c r="AK149" s="2" t="str">
        <x:v>数据不足</x:v>
      </x:c>
      <x:c r="AL149" s="5" t="n">
        <x:v>0.0036748811067877215</x:v>
      </x:c>
      <x:c r="AM149" s="5" t="n">
        <x:v>0.00324254215304799</x:v>
      </x:c>
      <x:c r="AN149" s="5" t="n">
        <x:v>0</x:v>
      </x:c>
      <x:c r="AO149" s="2" t="str">
        <x:v>C169</x:v>
      </x:c>
      <x:c r="AP149" s="2" t="n">
        <x:v>1</x:v>
      </x:c>
    </x:row>
    <x:row r="150" ht="26" customHeight="1">
      <x:c r="A150" s="2" t="n">
        <x:v>170</x:v>
      </x:c>
      <x:c r="B150" s="4" t="n">
        <x:v>46274</x:v>
      </x:c>
      <x:c r="C150" s="10" t="n">
        <x:v>46274.885462962964</x:v>
      </x:c>
      <x:c r="D150" s="2" t="str">
        <x:v>pta</x:v>
      </x:c>
      <x:c r="E150" s="2" t="str">
        <x:v>TA2701</x:v>
      </x:c>
      <x:c r="F150" s="2" t="str">
        <x:v>苏冰</x:v>
      </x:c>
      <x:c r="G150" s="2" t="str">
        <x:v>15m</x:v>
      </x:c>
      <x:c r="H150" s="2" t="str">
        <x:v>多头</x:v>
      </x:c>
      <x:c r="I150" s="2" t="n">
        <x:v>1</x:v>
      </x:c>
      <x:c r="J150" s="10" t="n">
        <x:v>46274.885416666664</x:v>
      </x:c>
      <x:c r="K150" s="11"/>
      <x:c r="L150" s="10" t="n">
        <x:v>46274.88611111111</x:v>
      </x:c>
      <x:c r="M150" s="11"/>
      <x:c r="N150" s="11"/>
      <x:c r="O150" s="5" t="str">
        <x:f>IF(N150="","",I150*(N150/M150-1))</x:f>
      </x:c>
      <x:c r="P150" s="11"/>
      <x:c r="Q150" s="5" t="str">
        <x:f>IF(P150="","",I150*(P150/M150-1))</x:f>
      </x:c>
      <x:c r="R150" s="11"/>
      <x:c r="S150" s="5" t="str">
        <x:f>IF(R150="","",I150*(R150/M150-1))</x:f>
      </x:c>
      <x:c r="T150" s="2" t="str">
        <x:f>IF(R150="",AK150,IF(S150&gt;0,"有利",IF(S150&lt;0,"不利","持平")))</x:f>
        <x:v>数据不足</x:v>
      </x:c>
      <x:c r="U150" s="5"/>
      <x:c r="V150" s="5"/>
      <x:c r="W150" s="2" t="str">
        <x:v>本次未复算；前次：公式复算数据不足</x:v>
      </x:c>
      <x:c r="X150" s="2" t="str">
        <x:v>逐条结果未留存</x:v>
      </x:c>
      <x:c r="Y150" s="10"/>
      <x:c r="Z150" s="10"/>
      <x:c r="AA150" s="10"/>
      <x:c r="AB150" s="12" t="n">
        <x:v>4.614611</x:v>
      </x:c>
      <x:c r="AC150" s="2" t="str">
        <x:v>subing_ths_alert_15m_v1</x:v>
      </x:c>
      <x:c r="AD150" s="5"/>
      <x:c r="AE150" s="5"/>
      <x:c r="AF150" s="5"/>
      <x:c r="AG150" s="2" t="str">
        <x:v>此前已有</x:v>
      </x:c>
      <x:c r="AH150" s="4" t="n">
        <x:v>46275</x:v>
      </x:c>
      <x:c r="AI150" s="2" t="str">
        <x:v>数据不足</x:v>
      </x:c>
      <x:c r="AJ150" s="2" t="str">
        <x:v>数据不足</x:v>
      </x:c>
      <x:c r="AK150" s="2" t="str">
        <x:v>数据不足</x:v>
      </x:c>
      <x:c r="AL150" s="5" t="n">
        <x:v>0.0019163206643244969</x:v>
      </x:c>
      <x:c r="AM150" s="5" t="n">
        <x:v>-0.0012775471095496647</x:v>
      </x:c>
      <x:c r="AN150" s="5" t="n">
        <x:v>-0.0031938677738741618</x:v>
      </x:c>
      <x:c r="AO150" s="2" t="str">
        <x:v>C161</x:v>
      </x:c>
      <x:c r="AP150" s="2" t="n">
        <x:v>0</x:v>
      </x:c>
    </x:row>
    <x:row r="151" ht="26" customHeight="1">
      <x:c r="A151" s="2" t="n">
        <x:v>171</x:v>
      </x:c>
      <x:c r="B151" s="4" t="n">
        <x:v>46274</x:v>
      </x:c>
      <x:c r="C151" s="10" t="n">
        <x:v>46274.88548611111</x:v>
      </x:c>
      <x:c r="D151" s="2" t="str">
        <x:v>热轧卷板</x:v>
      </x:c>
      <x:c r="E151" s="2" t="str">
        <x:v>HC2701</x:v>
      </x:c>
      <x:c r="F151" s="2" t="str">
        <x:v>苏冰</x:v>
      </x:c>
      <x:c r="G151" s="2" t="str">
        <x:v>15m</x:v>
      </x:c>
      <x:c r="H151" s="2" t="str">
        <x:v>空头</x:v>
      </x:c>
      <x:c r="I151" s="2" t="n">
        <x:v>-1</x:v>
      </x:c>
      <x:c r="J151" s="10" t="n">
        <x:v>46274.885416666664</x:v>
      </x:c>
      <x:c r="K151" s="11"/>
      <x:c r="L151" s="10" t="n">
        <x:v>46274.88611111111</x:v>
      </x:c>
      <x:c r="M151" s="11"/>
      <x:c r="N151" s="11"/>
      <x:c r="O151" s="5" t="str">
        <x:f>IF(N151="","",I151*(N151/M151-1))</x:f>
      </x:c>
      <x:c r="P151" s="11"/>
      <x:c r="Q151" s="5" t="str">
        <x:f>IF(P151="","",I151*(P151/M151-1))</x:f>
      </x:c>
      <x:c r="R151" s="11"/>
      <x:c r="S151" s="5" t="str">
        <x:f>IF(R151="","",I151*(R151/M151-1))</x:f>
      </x:c>
      <x:c r="T151" s="2" t="str">
        <x:f>IF(R151="",AK151,IF(S151&gt;0,"有利",IF(S151&lt;0,"不利","持平")))</x:f>
        <x:v>数据不足</x:v>
      </x:c>
      <x:c r="U151" s="5"/>
      <x:c r="V151" s="5"/>
      <x:c r="W151" s="2" t="str">
        <x:v>本次未复算；前次：公式复算数据不足</x:v>
      </x:c>
      <x:c r="X151" s="2" t="str">
        <x:v>逐条结果未留存</x:v>
      </x:c>
      <x:c r="Y151" s="10"/>
      <x:c r="Z151" s="10"/>
      <x:c r="AA151" s="10"/>
      <x:c r="AB151" s="12" t="n">
        <x:v>6.131238</x:v>
      </x:c>
      <x:c r="AC151" s="2" t="str">
        <x:v>subing_ths_alert_15m_v1</x:v>
      </x:c>
      <x:c r="AD151" s="5"/>
      <x:c r="AE151" s="5"/>
      <x:c r="AF151" s="5"/>
      <x:c r="AG151" s="2" t="str">
        <x:v>此前已有</x:v>
      </x:c>
      <x:c r="AH151" s="4" t="n">
        <x:v>46275</x:v>
      </x:c>
      <x:c r="AI151" s="2" t="str">
        <x:v>数据不足</x:v>
      </x:c>
      <x:c r="AJ151" s="2" t="str">
        <x:v>数据不足</x:v>
      </x:c>
      <x:c r="AK151" s="2" t="str">
        <x:v>数据不足</x:v>
      </x:c>
      <x:c r="AL151" s="5" t="n">
        <x:v>0</x:v>
      </x:c>
      <x:c r="AM151" s="5" t="n">
        <x:v>0.0008902077151335311</x:v>
      </x:c>
      <x:c r="AN151" s="5" t="n">
        <x:v>0.0032640949554896144</x:v>
      </x:c>
      <x:c r="AO151" s="2" t="str">
        <x:v>C171</x:v>
      </x:c>
      <x:c r="AP151" s="2" t="n">
        <x:v>1</x:v>
      </x:c>
    </x:row>
    <x:row r="152" ht="26" customHeight="1">
      <x:c r="A152" s="2" t="n">
        <x:v>172</x:v>
      </x:c>
      <x:c r="B152" s="4" t="n">
        <x:v>46274</x:v>
      </x:c>
      <x:c r="C152" s="10" t="n">
        <x:v>46274.88548611111</x:v>
      </x:c>
      <x:c r="D152" s="2" t="str">
        <x:v>螺纹钢</x:v>
      </x:c>
      <x:c r="E152" s="2" t="str">
        <x:v>RB2701</x:v>
      </x:c>
      <x:c r="F152" s="2" t="str">
        <x:v>苏冰</x:v>
      </x:c>
      <x:c r="G152" s="2" t="str">
        <x:v>15m</x:v>
      </x:c>
      <x:c r="H152" s="2" t="str">
        <x:v>空头</x:v>
      </x:c>
      <x:c r="I152" s="2" t="n">
        <x:v>-1</x:v>
      </x:c>
      <x:c r="J152" s="10" t="n">
        <x:v>46274.885416666664</x:v>
      </x:c>
      <x:c r="K152" s="11"/>
      <x:c r="L152" s="10" t="n">
        <x:v>46274.88611111111</x:v>
      </x:c>
      <x:c r="M152" s="11"/>
      <x:c r="N152" s="11"/>
      <x:c r="O152" s="5" t="str">
        <x:f>IF(N152="","",I152*(N152/M152-1))</x:f>
      </x:c>
      <x:c r="P152" s="11"/>
      <x:c r="Q152" s="5" t="str">
        <x:f>IF(P152="","",I152*(P152/M152-1))</x:f>
      </x:c>
      <x:c r="R152" s="11"/>
      <x:c r="S152" s="5" t="str">
        <x:f>IF(R152="","",I152*(R152/M152-1))</x:f>
      </x:c>
      <x:c r="T152" s="2" t="str">
        <x:f>IF(R152="",AK152,IF(S152&gt;0,"有利",IF(S152&lt;0,"不利","持平")))</x:f>
        <x:v>数据不足</x:v>
      </x:c>
      <x:c r="U152" s="5"/>
      <x:c r="V152" s="5"/>
      <x:c r="W152" s="2" t="str">
        <x:v>本次未复算；前次：公式复算数据不足</x:v>
      </x:c>
      <x:c r="X152" s="2" t="str">
        <x:v>逐条结果未留存</x:v>
      </x:c>
      <x:c r="Y152" s="10"/>
      <x:c r="Z152" s="10"/>
      <x:c r="AA152" s="10"/>
      <x:c r="AB152" s="12" t="n">
        <x:v>6.796929</x:v>
      </x:c>
      <x:c r="AC152" s="2" t="str">
        <x:v>subing_ths_alert_15m_v1</x:v>
      </x:c>
      <x:c r="AD152" s="5"/>
      <x:c r="AE152" s="5"/>
      <x:c r="AF152" s="5"/>
      <x:c r="AG152" s="2" t="str">
        <x:v>此前已有</x:v>
      </x:c>
      <x:c r="AH152" s="4" t="n">
        <x:v>46275</x:v>
      </x:c>
      <x:c r="AI152" s="2" t="str">
        <x:v>数据不足</x:v>
      </x:c>
      <x:c r="AJ152" s="2" t="str">
        <x:v>数据不足</x:v>
      </x:c>
      <x:c r="AK152" s="2" t="str">
        <x:v>数据不足</x:v>
      </x:c>
      <x:c r="AL152" s="5" t="n">
        <x:v>-0.0003170577045022194</x:v>
      </x:c>
      <x:c r="AM152" s="5" t="n">
        <x:v>0.0009511731135066582</x:v>
      </x:c>
      <x:c r="AN152" s="5" t="n">
        <x:v>0.004121750158528852</x:v>
      </x:c>
      <x:c r="AO152" s="2" t="str">
        <x:v>C172</x:v>
      </x:c>
      <x:c r="AP152" s="2" t="n">
        <x:v>1</x:v>
      </x:c>
    </x:row>
    <x:row r="153" ht="26" customHeight="1">
      <x:c r="A153" s="2" t="n">
        <x:v>173</x:v>
      </x:c>
      <x:c r="B153" s="4" t="n">
        <x:v>46274</x:v>
      </x:c>
      <x:c r="C153" s="10" t="n">
        <x:v>46274.88549768519</x:v>
      </x:c>
      <x:c r="D153" s="2" t="str">
        <x:v>铁矿石</x:v>
      </x:c>
      <x:c r="E153" s="2" t="str">
        <x:v>I2701</x:v>
      </x:c>
      <x:c r="F153" s="2" t="str">
        <x:v>苏冰</x:v>
      </x:c>
      <x:c r="G153" s="2" t="str">
        <x:v>15m</x:v>
      </x:c>
      <x:c r="H153" s="2" t="str">
        <x:v>空头</x:v>
      </x:c>
      <x:c r="I153" s="2" t="n">
        <x:v>-1</x:v>
      </x:c>
      <x:c r="J153" s="10" t="n">
        <x:v>46274.885416666664</x:v>
      </x:c>
      <x:c r="K153" s="11"/>
      <x:c r="L153" s="10" t="n">
        <x:v>46274.88611111111</x:v>
      </x:c>
      <x:c r="M153" s="11"/>
      <x:c r="N153" s="11"/>
      <x:c r="O153" s="5" t="str">
        <x:f>IF(N153="","",I153*(N153/M153-1))</x:f>
      </x:c>
      <x:c r="P153" s="11"/>
      <x:c r="Q153" s="5" t="str">
        <x:f>IF(P153="","",I153*(P153/M153-1))</x:f>
      </x:c>
      <x:c r="R153" s="11"/>
      <x:c r="S153" s="5" t="str">
        <x:f>IF(R153="","",I153*(R153/M153-1))</x:f>
      </x:c>
      <x:c r="T153" s="2" t="str">
        <x:f>IF(R153="",AK153,IF(S153&gt;0,"有利",IF(S153&lt;0,"不利","持平")))</x:f>
        <x:v>数据不足</x:v>
      </x:c>
      <x:c r="U153" s="5"/>
      <x:c r="V153" s="5"/>
      <x:c r="W153" s="2" t="str">
        <x:v>本次未复算；前次：公式复算数据不足</x:v>
      </x:c>
      <x:c r="X153" s="2" t="str">
        <x:v>逐条结果未留存</x:v>
      </x:c>
      <x:c r="Y153" s="10"/>
      <x:c r="Z153" s="10"/>
      <x:c r="AA153" s="10"/>
      <x:c r="AB153" s="12" t="n">
        <x:v>7.520405</x:v>
      </x:c>
      <x:c r="AC153" s="2" t="str">
        <x:v>subing_ths_alert_15m_v1</x:v>
      </x:c>
      <x:c r="AD153" s="5"/>
      <x:c r="AE153" s="5"/>
      <x:c r="AF153" s="5"/>
      <x:c r="AG153" s="2" t="str">
        <x:v>此前已有</x:v>
      </x:c>
      <x:c r="AH153" s="4" t="n">
        <x:v>46275</x:v>
      </x:c>
      <x:c r="AI153" s="2" t="str">
        <x:v>数据不足</x:v>
      </x:c>
      <x:c r="AJ153" s="2" t="str">
        <x:v>数据不足</x:v>
      </x:c>
      <x:c r="AK153" s="2" t="str">
        <x:v>数据不足</x:v>
      </x:c>
      <x:c r="AL153" s="5" t="n">
        <x:v>0</x:v>
      </x:c>
      <x:c r="AM153" s="5" t="n">
        <x:v>0.0020477815699658703</x:v>
      </x:c>
      <x:c r="AN153" s="5" t="n">
        <x:v>0.0013651877133105802</x:v>
      </x:c>
      <x:c r="AO153" s="2" t="str">
        <x:v>C173</x:v>
      </x:c>
      <x:c r="AP153" s="2" t="n">
        <x:v>1</x:v>
      </x:c>
    </x:row>
    <x:row r="154" ht="26" customHeight="1">
      <x:c r="A154" s="2" t="n">
        <x:v>174</x:v>
      </x:c>
      <x:c r="B154" s="4" t="n">
        <x:v>46274</x:v>
      </x:c>
      <x:c r="C154" s="10" t="n">
        <x:v>46274.88549768519</x:v>
      </x:c>
      <x:c r="D154" s="2" t="str">
        <x:v>焦煤</x:v>
      </x:c>
      <x:c r="E154" s="2" t="str">
        <x:v>JM2701</x:v>
      </x:c>
      <x:c r="F154" s="2" t="str">
        <x:v>火天大有</x:v>
      </x:c>
      <x:c r="G154" s="2" t="str">
        <x:v>5m</x:v>
      </x:c>
      <x:c r="H154" s="2" t="str">
        <x:v>多头</x:v>
      </x:c>
      <x:c r="I154" s="2" t="n">
        <x:v>1</x:v>
      </x:c>
      <x:c r="J154" s="10" t="n">
        <x:v>46274.885416666664</x:v>
      </x:c>
      <x:c r="K154" s="11"/>
      <x:c r="L154" s="10" t="n">
        <x:v>46274.88611111111</x:v>
      </x:c>
      <x:c r="M154" s="11"/>
      <x:c r="N154" s="11"/>
      <x:c r="O154" s="5" t="str">
        <x:f>IF(N154="","",I154*(N154/M154-1))</x:f>
      </x:c>
      <x:c r="P154" s="11"/>
      <x:c r="Q154" s="5" t="str">
        <x:f>IF(P154="","",I154*(P154/M154-1))</x:f>
      </x:c>
      <x:c r="R154" s="11"/>
      <x:c r="S154" s="5" t="str">
        <x:f>IF(R154="","",I154*(R154/M154-1))</x:f>
      </x:c>
      <x:c r="T154" s="2" t="str">
        <x:f>IF(R154="",AK154,IF(S154&gt;0,"有利",IF(S154&lt;0,"不利","持平")))</x:f>
        <x:v>数据不足</x:v>
      </x:c>
      <x:c r="U154" s="5"/>
      <x:c r="V154" s="5"/>
      <x:c r="W154" s="2" t="str">
        <x:v>本次未复算；前次：公式复算数据不足</x:v>
      </x:c>
      <x:c r="X154" s="2" t="str">
        <x:v>逐条结果未留存</x:v>
      </x:c>
      <x:c r="Y154" s="10"/>
      <x:c r="Z154" s="10"/>
      <x:c r="AA154" s="10"/>
      <x:c r="AB154" s="12" t="n">
        <x:v>7.780547</x:v>
      </x:c>
      <x:c r="AC154" s="2" t="str">
        <x:v>htdy_original_15m</x:v>
      </x:c>
      <x:c r="AD154" s="5"/>
      <x:c r="AE154" s="5"/>
      <x:c r="AF154" s="5"/>
      <x:c r="AG154" s="2" t="str">
        <x:v>此前已有</x:v>
      </x:c>
      <x:c r="AH154" s="4" t="n">
        <x:v>46275</x:v>
      </x:c>
      <x:c r="AI154" s="2" t="str">
        <x:v>数据不足</x:v>
      </x:c>
      <x:c r="AJ154" s="2" t="str">
        <x:v>数据不足</x:v>
      </x:c>
      <x:c r="AK154" s="2" t="str">
        <x:v>数据不足</x:v>
      </x:c>
      <x:c r="AL154" s="5" t="n">
        <x:v>-0.0018165304268846503</x:v>
      </x:c>
      <x:c r="AM154" s="5" t="n">
        <x:v>-0.0036330608537693005</x:v>
      </x:c>
      <x:c r="AN154" s="5" t="n">
        <x:v>-0.016651528913109295</x:v>
      </x:c>
      <x:c r="AO154" s="2" t="str">
        <x:v>C174</x:v>
      </x:c>
      <x:c r="AP154" s="2" t="n">
        <x:v>1</x:v>
      </x:c>
    </x:row>
    <x:row r="155" ht="26" customHeight="1">
      <x:c r="A155" s="2" t="n">
        <x:v>175</x:v>
      </x:c>
      <x:c r="B155" s="4" t="n">
        <x:v>46274</x:v>
      </x:c>
      <x:c r="C155" s="10" t="n">
        <x:v>46274.88550925926</x:v>
      </x:c>
      <x:c r="D155" s="2" t="str">
        <x:v>聚丙烯</x:v>
      </x:c>
      <x:c r="E155" s="2" t="str">
        <x:v>PP2701</x:v>
      </x:c>
      <x:c r="F155" s="2" t="str">
        <x:v>苏冰</x:v>
      </x:c>
      <x:c r="G155" s="2" t="str">
        <x:v>15m</x:v>
      </x:c>
      <x:c r="H155" s="2" t="str">
        <x:v>多头</x:v>
      </x:c>
      <x:c r="I155" s="2" t="n">
        <x:v>1</x:v>
      </x:c>
      <x:c r="J155" s="10" t="n">
        <x:v>46274.885416666664</x:v>
      </x:c>
      <x:c r="K155" s="11"/>
      <x:c r="L155" s="10" t="n">
        <x:v>46274.88611111111</x:v>
      </x:c>
      <x:c r="M155" s="11"/>
      <x:c r="N155" s="11"/>
      <x:c r="O155" s="5" t="str">
        <x:f>IF(N155="","",I155*(N155/M155-1))</x:f>
      </x:c>
      <x:c r="P155" s="11"/>
      <x:c r="Q155" s="5" t="str">
        <x:f>IF(P155="","",I155*(P155/M155-1))</x:f>
      </x:c>
      <x:c r="R155" s="11"/>
      <x:c r="S155" s="5" t="str">
        <x:f>IF(R155="","",I155*(R155/M155-1))</x:f>
      </x:c>
      <x:c r="T155" s="2" t="str">
        <x:f>IF(R155="",AK155,IF(S155&gt;0,"有利",IF(S155&lt;0,"不利","持平")))</x:f>
        <x:v>数据不足</x:v>
      </x:c>
      <x:c r="U155" s="5"/>
      <x:c r="V155" s="5"/>
      <x:c r="W155" s="2" t="str">
        <x:v>本次未复算；前次：公式复算数据不足</x:v>
      </x:c>
      <x:c r="X155" s="2" t="str">
        <x:v>逐条结果未留存</x:v>
      </x:c>
      <x:c r="Y155" s="10"/>
      <x:c r="Z155" s="10"/>
      <x:c r="AA155" s="10"/>
      <x:c r="AB155" s="12" t="n">
        <x:v>8.416858</x:v>
      </x:c>
      <x:c r="AC155" s="2" t="str">
        <x:v>subing_ths_alert_15m_v1</x:v>
      </x:c>
      <x:c r="AD155" s="5"/>
      <x:c r="AE155" s="5"/>
      <x:c r="AF155" s="5"/>
      <x:c r="AG155" s="2" t="str">
        <x:v>此前已有</x:v>
      </x:c>
      <x:c r="AH155" s="4" t="n">
        <x:v>46275</x:v>
      </x:c>
      <x:c r="AI155" s="2" t="str">
        <x:v>数据不足</x:v>
      </x:c>
      <x:c r="AJ155" s="2" t="str">
        <x:v>数据不足</x:v>
      </x:c>
      <x:c r="AK155" s="2" t="str">
        <x:v>数据不足</x:v>
      </x:c>
      <x:c r="AL155" s="5" t="n">
        <x:v>0.0031570639305445935</x:v>
      </x:c>
      <x:c r="AM155" s="5" t="n">
        <x:v>0.004510091329349419</x:v>
      </x:c>
      <x:c r="AN155" s="5" t="n">
        <x:v>0.002593302514375916</x:v>
      </x:c>
      <x:c r="AO155" s="2" t="str">
        <x:v>C175</x:v>
      </x:c>
      <x:c r="AP155" s="2" t="n">
        <x:v>1</x:v>
      </x:c>
    </x:row>
    <x:row r="156" ht="26" customHeight="1">
      <x:c r="A156" s="2" t="n">
        <x:v>176</x:v>
      </x:c>
      <x:c r="B156" s="4" t="n">
        <x:v>46274</x:v>
      </x:c>
      <x:c r="C156" s="10" t="n">
        <x:v>46274.88550925926</x:v>
      </x:c>
      <x:c r="D156" s="2" t="str">
        <x:v>pvc</x:v>
      </x:c>
      <x:c r="E156" s="2" t="str">
        <x:v>V2701</x:v>
      </x:c>
      <x:c r="F156" s="2" t="str">
        <x:v>苏冰</x:v>
      </x:c>
      <x:c r="G156" s="2" t="str">
        <x:v>15m</x:v>
      </x:c>
      <x:c r="H156" s="2" t="str">
        <x:v>空头</x:v>
      </x:c>
      <x:c r="I156" s="2" t="n">
        <x:v>-1</x:v>
      </x:c>
      <x:c r="J156" s="10" t="n">
        <x:v>46274.885416666664</x:v>
      </x:c>
      <x:c r="K156" s="11"/>
      <x:c r="L156" s="10" t="n">
        <x:v>46274.88611111111</x:v>
      </x:c>
      <x:c r="M156" s="11"/>
      <x:c r="N156" s="11"/>
      <x:c r="O156" s="5" t="str">
        <x:f>IF(N156="","",I156*(N156/M156-1))</x:f>
      </x:c>
      <x:c r="P156" s="11"/>
      <x:c r="Q156" s="5" t="str">
        <x:f>IF(P156="","",I156*(P156/M156-1))</x:f>
      </x:c>
      <x:c r="R156" s="11"/>
      <x:c r="S156" s="5" t="str">
        <x:f>IF(R156="","",I156*(R156/M156-1))</x:f>
      </x:c>
      <x:c r="T156" s="2" t="str">
        <x:f>IF(R156="",AK156,IF(S156&gt;0,"有利",IF(S156&lt;0,"不利","持平")))</x:f>
        <x:v>数据不足</x:v>
      </x:c>
      <x:c r="U156" s="5"/>
      <x:c r="V156" s="5"/>
      <x:c r="W156" s="2" t="str">
        <x:v>本次未复算；前次：公式复算数据不足</x:v>
      </x:c>
      <x:c r="X156" s="2" t="str">
        <x:v>逐条结果未留存</x:v>
      </x:c>
      <x:c r="Y156" s="10"/>
      <x:c r="Z156" s="10"/>
      <x:c r="AA156" s="10"/>
      <x:c r="AB156" s="12" t="n">
        <x:v>8.56665</x:v>
      </x:c>
      <x:c r="AC156" s="2" t="str">
        <x:v>subing_ths_alert_15m_v1</x:v>
      </x:c>
      <x:c r="AD156" s="5"/>
      <x:c r="AE156" s="5"/>
      <x:c r="AF156" s="5"/>
      <x:c r="AG156" s="2" t="str">
        <x:v>此前已有</x:v>
      </x:c>
      <x:c r="AH156" s="4" t="n">
        <x:v>46275</x:v>
      </x:c>
      <x:c r="AI156" s="2" t="str">
        <x:v>数据不足</x:v>
      </x:c>
      <x:c r="AJ156" s="2" t="str">
        <x:v>数据不足</x:v>
      </x:c>
      <x:c r="AK156" s="2" t="str">
        <x:v>数据不足</x:v>
      </x:c>
      <x:c r="AL156" s="5" t="n">
        <x:v>-0.0017751479289940828</x:v>
      </x:c>
      <x:c r="AM156" s="5" t="n">
        <x:v>0.0015779092702169625</x:v>
      </x:c>
      <x:c r="AN156" s="5" t="n">
        <x:v>0.0033530571992110452</x:v>
      </x:c>
      <x:c r="AO156" s="2" t="str">
        <x:v>C176</x:v>
      </x:c>
      <x:c r="AP156" s="2" t="n">
        <x:v>1</x:v>
      </x:c>
    </x:row>
    <x:row r="157" ht="26" customHeight="1">
      <x:c r="A157" s="2" t="n">
        <x:v>177</x:v>
      </x:c>
      <x:c r="B157" s="4" t="n">
        <x:v>46274</x:v>
      </x:c>
      <x:c r="C157" s="10" t="n">
        <x:v>46274.89591435185</x:v>
      </x:c>
      <x:c r="D157" s="2" t="str">
        <x:v>瓶片</x:v>
      </x:c>
      <x:c r="E157" s="2" t="str">
        <x:v>PL2611</x:v>
      </x:c>
      <x:c r="F157" s="2" t="str">
        <x:v>苏冰</x:v>
      </x:c>
      <x:c r="G157" s="2" t="str">
        <x:v>15m</x:v>
      </x:c>
      <x:c r="H157" s="2" t="str">
        <x:v>多头</x:v>
      </x:c>
      <x:c r="I157" s="2" t="n">
        <x:v>1</x:v>
      </x:c>
      <x:c r="J157" s="10" t="n">
        <x:v>46274.895833333336</x:v>
      </x:c>
      <x:c r="K157" s="11"/>
      <x:c r="L157" s="10" t="n">
        <x:v>46274.896527777775</x:v>
      </x:c>
      <x:c r="M157" s="11"/>
      <x:c r="N157" s="11"/>
      <x:c r="O157" s="5" t="str">
        <x:f>IF(N157="","",I157*(N157/M157-1))</x:f>
      </x:c>
      <x:c r="P157" s="11"/>
      <x:c r="Q157" s="5" t="str">
        <x:f>IF(P157="","",I157*(P157/M157-1))</x:f>
      </x:c>
      <x:c r="R157" s="11"/>
      <x:c r="S157" s="5" t="str">
        <x:f>IF(R157="","",I157*(R157/M157-1))</x:f>
      </x:c>
      <x:c r="T157" s="2" t="str">
        <x:f>IF(R157="",AK157,IF(S157&gt;0,"有利",IF(S157&lt;0,"不利","持平")))</x:f>
        <x:v>数据不足</x:v>
      </x:c>
      <x:c r="U157" s="5"/>
      <x:c r="V157" s="5"/>
      <x:c r="W157" s="2" t="str">
        <x:v>本次未复算；前次：公式复算数据不足</x:v>
      </x:c>
      <x:c r="X157" s="2" t="str">
        <x:v>逐条结果未留存</x:v>
      </x:c>
      <x:c r="Y157" s="10"/>
      <x:c r="Z157" s="10"/>
      <x:c r="AA157" s="10"/>
      <x:c r="AB157" s="12" t="n">
        <x:v>7.061802</x:v>
      </x:c>
      <x:c r="AC157" s="2" t="str">
        <x:v>subing_ths_alert_15m_v1</x:v>
      </x:c>
      <x:c r="AD157" s="5"/>
      <x:c r="AE157" s="5"/>
      <x:c r="AF157" s="5"/>
      <x:c r="AG157" s="2" t="str">
        <x:v>此前已有</x:v>
      </x:c>
      <x:c r="AH157" s="4" t="n">
        <x:v>46275</x:v>
      </x:c>
      <x:c r="AI157" s="2" t="str">
        <x:v>数据不足</x:v>
      </x:c>
      <x:c r="AJ157" s="2" t="str">
        <x:v>数据不足</x:v>
      </x:c>
      <x:c r="AK157" s="2" t="str">
        <x:v>数据不足</x:v>
      </x:c>
      <x:c r="AL157" s="5" t="n">
        <x:v>0.0031725194180067828</x:v>
      </x:c>
      <x:c r="AM157" s="5" t="n">
        <x:v>0.001859752762279838</x:v>
      </x:c>
      <x:c r="AN157" s="5" t="n">
        <x:v>0.0062356416147029865</x:v>
      </x:c>
      <x:c r="AO157" s="2" t="str">
        <x:v>C177</x:v>
      </x:c>
      <x:c r="AP157" s="2" t="n">
        <x:v>1</x:v>
      </x:c>
    </x:row>
    <x:row r="158" ht="26" customHeight="1">
      <x:c r="A158" s="2" t="n">
        <x:v>178</x:v>
      </x:c>
      <x:c r="B158" s="4" t="n">
        <x:v>46274</x:v>
      </x:c>
      <x:c r="C158" s="10" t="n">
        <x:v>46274.895949074074</x:v>
      </x:c>
      <x:c r="D158" s="2" t="str">
        <x:v>铝</x:v>
      </x:c>
      <x:c r="E158" s="2" t="str">
        <x:v>AL2610</x:v>
      </x:c>
      <x:c r="F158" s="2" t="str">
        <x:v>苏冰</x:v>
      </x:c>
      <x:c r="G158" s="2" t="str">
        <x:v>15m</x:v>
      </x:c>
      <x:c r="H158" s="2" t="str">
        <x:v>多头</x:v>
      </x:c>
      <x:c r="I158" s="2" t="n">
        <x:v>1</x:v>
      </x:c>
      <x:c r="J158" s="10" t="n">
        <x:v>46274.895833333336</x:v>
      </x:c>
      <x:c r="K158" s="11"/>
      <x:c r="L158" s="10" t="n">
        <x:v>46274.896527777775</x:v>
      </x:c>
      <x:c r="M158" s="11"/>
      <x:c r="N158" s="11"/>
      <x:c r="O158" s="5" t="str">
        <x:f>IF(N158="","",I158*(N158/M158-1))</x:f>
      </x:c>
      <x:c r="P158" s="11"/>
      <x:c r="Q158" s="5" t="str">
        <x:f>IF(P158="","",I158*(P158/M158-1))</x:f>
      </x:c>
      <x:c r="R158" s="11"/>
      <x:c r="S158" s="5" t="str">
        <x:f>IF(R158="","",I158*(R158/M158-1))</x:f>
      </x:c>
      <x:c r="T158" s="2" t="str">
        <x:f>IF(R158="",AK158,IF(S158&gt;0,"有利",IF(S158&lt;0,"不利","持平")))</x:f>
        <x:v>数据不足</x:v>
      </x:c>
      <x:c r="U158" s="5"/>
      <x:c r="V158" s="5"/>
      <x:c r="W158" s="2" t="str">
        <x:v>本次未复算；前次：公式复算数据不足</x:v>
      </x:c>
      <x:c r="X158" s="2" t="str">
        <x:v>逐条结果未留存</x:v>
      </x:c>
      <x:c r="Y158" s="10"/>
      <x:c r="Z158" s="10"/>
      <x:c r="AA158" s="10"/>
      <x:c r="AB158" s="12" t="n">
        <x:v>10.538803</x:v>
      </x:c>
      <x:c r="AC158" s="2" t="str">
        <x:v>subing_ths_alert_15m_v1</x:v>
      </x:c>
      <x:c r="AD158" s="5"/>
      <x:c r="AE158" s="5"/>
      <x:c r="AF158" s="5"/>
      <x:c r="AG158" s="2" t="str">
        <x:v>此前已有</x:v>
      </x:c>
      <x:c r="AH158" s="4" t="n">
        <x:v>46275</x:v>
      </x:c>
      <x:c r="AI158" s="2" t="str">
        <x:v>数据不足</x:v>
      </x:c>
      <x:c r="AJ158" s="2" t="str">
        <x:v>数据不足</x:v>
      </x:c>
      <x:c r="AK158" s="2" t="str">
        <x:v>数据不足</x:v>
      </x:c>
      <x:c r="AL158" s="5" t="n">
        <x:v>-0.002028809089064719</x:v>
      </x:c>
      <x:c r="AM158" s="5" t="n">
        <x:v>-0.0030432136335970784</x:v>
      </x:c>
      <x:c r="AN158" s="5" t="n">
        <x:v>-0.0012172854534388314</x:v>
      </x:c>
      <x:c r="AO158" s="2" t="str">
        <x:v>C178</x:v>
      </x:c>
      <x:c r="AP158" s="2" t="n">
        <x:v>1</x:v>
      </x:c>
    </x:row>
    <x:row r="159" ht="26" customHeight="1">
      <x:c r="A159" s="2" t="n">
        <x:v>179</x:v>
      </x:c>
      <x:c r="B159" s="4" t="n">
        <x:v>46274</x:v>
      </x:c>
      <x:c r="C159" s="10" t="n">
        <x:v>46274.8959837963</x:v>
      </x:c>
      <x:c r="D159" s="2" t="str">
        <x:v>玉米</x:v>
      </x:c>
      <x:c r="E159" s="2" t="str">
        <x:v>C2611</x:v>
      </x:c>
      <x:c r="F159" s="2" t="str">
        <x:v>苏冰</x:v>
      </x:c>
      <x:c r="G159" s="2" t="str">
        <x:v>15m</x:v>
      </x:c>
      <x:c r="H159" s="2" t="str">
        <x:v>空头</x:v>
      </x:c>
      <x:c r="I159" s="2" t="n">
        <x:v>-1</x:v>
      </x:c>
      <x:c r="J159" s="10" t="n">
        <x:v>46274.895833333336</x:v>
      </x:c>
      <x:c r="K159" s="11"/>
      <x:c r="L159" s="10" t="n">
        <x:v>46274.896527777775</x:v>
      </x:c>
      <x:c r="M159" s="11"/>
      <x:c r="N159" s="11"/>
      <x:c r="O159" s="5" t="str">
        <x:f>IF(N159="","",I159*(N159/M159-1))</x:f>
      </x:c>
      <x:c r="P159" s="11"/>
      <x:c r="Q159" s="5" t="str">
        <x:f>IF(P159="","",I159*(P159/M159-1))</x:f>
      </x:c>
      <x:c r="R159" s="11"/>
      <x:c r="S159" s="5" t="str">
        <x:f>IF(R159="","",I159*(R159/M159-1))</x:f>
      </x:c>
      <x:c r="T159" s="2" t="str">
        <x:f>IF(R159="",AK159,IF(S159&gt;0,"有利",IF(S159&lt;0,"不利","持平")))</x:f>
        <x:v>数据不足</x:v>
      </x:c>
      <x:c r="U159" s="5"/>
      <x:c r="V159" s="5"/>
      <x:c r="W159" s="2" t="str">
        <x:v>本次未复算；前次：公式复算数据不足</x:v>
      </x:c>
      <x:c r="X159" s="2" t="str">
        <x:v>逐条结果未留存</x:v>
      </x:c>
      <x:c r="Y159" s="10"/>
      <x:c r="Z159" s="10"/>
      <x:c r="AA159" s="10"/>
      <x:c r="AB159" s="12" t="n">
        <x:v>13.330424</x:v>
      </x:c>
      <x:c r="AC159" s="2" t="str">
        <x:v>subing_ths_alert_15m_v1</x:v>
      </x:c>
      <x:c r="AD159" s="5"/>
      <x:c r="AE159" s="5"/>
      <x:c r="AF159" s="5"/>
      <x:c r="AG159" s="2" t="str">
        <x:v>此前已有</x:v>
      </x:c>
      <x:c r="AH159" s="4" t="n">
        <x:v>46275</x:v>
      </x:c>
      <x:c r="AI159" s="2" t="str">
        <x:v>数据不足</x:v>
      </x:c>
      <x:c r="AJ159" s="2" t="str">
        <x:v>数据不足</x:v>
      </x:c>
      <x:c r="AK159" s="2" t="str">
        <x:v>数据不足</x:v>
      </x:c>
      <x:c r="AL159" s="5" t="n">
        <x:v>0.0021968365553602814</x:v>
      </x:c>
      <x:c r="AM159" s="5" t="n">
        <x:v>0.0026362038664323375</x:v>
      </x:c>
      <x:c r="AN159" s="5" t="n">
        <x:v>0.0026362038664323375</x:v>
      </x:c>
      <x:c r="AO159" s="2" t="str">
        <x:v>C179</x:v>
      </x:c>
      <x:c r="AP159" s="2" t="n">
        <x:v>1</x:v>
      </x:c>
    </x:row>
    <x:row r="160" ht="26" customHeight="1">
      <x:c r="A160" s="2" t="n">
        <x:v>180</x:v>
      </x:c>
      <x:c r="B160" s="4" t="n">
        <x:v>46274</x:v>
      </x:c>
      <x:c r="C160" s="10" t="n">
        <x:v>46274.90628472222</x:v>
      </x:c>
      <x:c r="D160" s="2" t="str">
        <x:v>棉花</x:v>
      </x:c>
      <x:c r="E160" s="2" t="str">
        <x:v>CF2701</x:v>
      </x:c>
      <x:c r="F160" s="2" t="str">
        <x:v>苏冰</x:v>
      </x:c>
      <x:c r="G160" s="2" t="str">
        <x:v>15m</x:v>
      </x:c>
      <x:c r="H160" s="2" t="str">
        <x:v>空头</x:v>
      </x:c>
      <x:c r="I160" s="2" t="n">
        <x:v>-1</x:v>
      </x:c>
      <x:c r="J160" s="10" t="n">
        <x:v>46274.90625</x:v>
      </x:c>
      <x:c r="K160" s="11"/>
      <x:c r="L160" s="10" t="n">
        <x:v>46274.90694444445</x:v>
      </x:c>
      <x:c r="M160" s="11"/>
      <x:c r="N160" s="11"/>
      <x:c r="O160" s="5" t="str">
        <x:f>IF(N160="","",I160*(N160/M160-1))</x:f>
      </x:c>
      <x:c r="P160" s="11"/>
      <x:c r="Q160" s="5" t="str">
        <x:f>IF(P160="","",I160*(P160/M160-1))</x:f>
      </x:c>
      <x:c r="R160" s="11"/>
      <x:c r="S160" s="5" t="str">
        <x:f>IF(R160="","",I160*(R160/M160-1))</x:f>
      </x:c>
      <x:c r="T160" s="2" t="str">
        <x:f>IF(R160="",AK160,IF(S160&gt;0,"有利",IF(S160&lt;0,"不利","持平")))</x:f>
        <x:v>数据不足</x:v>
      </x:c>
      <x:c r="U160" s="5"/>
      <x:c r="V160" s="5"/>
      <x:c r="W160" s="2" t="str">
        <x:v>本次未复算；前次：公式复算数据不足</x:v>
      </x:c>
      <x:c r="X160" s="2" t="str">
        <x:v>逐条结果未留存</x:v>
      </x:c>
      <x:c r="Y160" s="10"/>
      <x:c r="Z160" s="10"/>
      <x:c r="AA160" s="10"/>
      <x:c r="AB160" s="12" t="n">
        <x:v>3.283122</x:v>
      </x:c>
      <x:c r="AC160" s="2" t="str">
        <x:v>subing_ths_alert_15m_v1</x:v>
      </x:c>
      <x:c r="AD160" s="5"/>
      <x:c r="AE160" s="5"/>
      <x:c r="AF160" s="5"/>
      <x:c r="AG160" s="2" t="str">
        <x:v>此前已有</x:v>
      </x:c>
      <x:c r="AH160" s="4" t="n">
        <x:v>46275</x:v>
      </x:c>
      <x:c r="AI160" s="2" t="str">
        <x:v>数据不足</x:v>
      </x:c>
      <x:c r="AJ160" s="2" t="str">
        <x:v>数据不足</x:v>
      </x:c>
      <x:c r="AK160" s="2" t="str">
        <x:v>数据不足</x:v>
      </x:c>
      <x:c r="AL160" s="5" t="n">
        <x:v>0.0033013205282112846</x:v>
      </x:c>
      <x:c r="AM160" s="5" t="n">
        <x:v>0.004801920768307323</x:v>
      </x:c>
      <x:c r="AN160" s="5" t="n">
        <x:v>0.003601440576230492</x:v>
      </x:c>
      <x:c r="AO160" s="2" t="str">
        <x:v>C180</x:v>
      </x:c>
      <x:c r="AP160" s="2" t="n">
        <x:v>1</x:v>
      </x:c>
    </x:row>
    <x:row r="161" ht="26" customHeight="1">
      <x:c r="A161" s="2" t="n">
        <x:v>181</x:v>
      </x:c>
      <x:c r="B161" s="4" t="n">
        <x:v>46274</x:v>
      </x:c>
      <x:c r="C161" s="10" t="n">
        <x:v>46274.9062962963</x:v>
      </x:c>
      <x:c r="D161" s="2" t="str">
        <x:v>纯碱</x:v>
      </x:c>
      <x:c r="E161" s="2" t="str">
        <x:v>SA2701</x:v>
      </x:c>
      <x:c r="F161" s="2" t="str">
        <x:v>苏冰</x:v>
      </x:c>
      <x:c r="G161" s="2" t="str">
        <x:v>15m</x:v>
      </x:c>
      <x:c r="H161" s="2" t="str">
        <x:v>空头</x:v>
      </x:c>
      <x:c r="I161" s="2" t="n">
        <x:v>-1</x:v>
      </x:c>
      <x:c r="J161" s="10" t="n">
        <x:v>46274.90625</x:v>
      </x:c>
      <x:c r="K161" s="11"/>
      <x:c r="L161" s="10" t="n">
        <x:v>46274.90694444445</x:v>
      </x:c>
      <x:c r="M161" s="11"/>
      <x:c r="N161" s="11"/>
      <x:c r="O161" s="5" t="str">
        <x:f>IF(N161="","",I161*(N161/M161-1))</x:f>
      </x:c>
      <x:c r="P161" s="11"/>
      <x:c r="Q161" s="5" t="str">
        <x:f>IF(P161="","",I161*(P161/M161-1))</x:f>
      </x:c>
      <x:c r="R161" s="11"/>
      <x:c r="S161" s="5" t="str">
        <x:f>IF(R161="","",I161*(R161/M161-1))</x:f>
      </x:c>
      <x:c r="T161" s="2" t="str">
        <x:f>IF(R161="",AK161,IF(S161&gt;0,"有利",IF(S161&lt;0,"不利","持平")))</x:f>
        <x:v>数据不足</x:v>
      </x:c>
      <x:c r="U161" s="5"/>
      <x:c r="V161" s="5"/>
      <x:c r="W161" s="2" t="str">
        <x:v>本次未复算；前次：公式复算数据不足</x:v>
      </x:c>
      <x:c r="X161" s="2" t="str">
        <x:v>逐条结果未留存</x:v>
      </x:c>
      <x:c r="Y161" s="10"/>
      <x:c r="Z161" s="10"/>
      <x:c r="AA161" s="10"/>
      <x:c r="AB161" s="12" t="n">
        <x:v>4.299339</x:v>
      </x:c>
      <x:c r="AC161" s="2" t="str">
        <x:v>subing_ths_alert_15m_v1</x:v>
      </x:c>
      <x:c r="AD161" s="5"/>
      <x:c r="AE161" s="5"/>
      <x:c r="AF161" s="5"/>
      <x:c r="AG161" s="2" t="str">
        <x:v>此前已有</x:v>
      </x:c>
      <x:c r="AH161" s="4" t="n">
        <x:v>46275</x:v>
      </x:c>
      <x:c r="AI161" s="2" t="str">
        <x:v>数据不足</x:v>
      </x:c>
      <x:c r="AJ161" s="2" t="str">
        <x:v>数据不足</x:v>
      </x:c>
      <x:c r="AK161" s="2" t="str">
        <x:v>数据不足</x:v>
      </x:c>
      <x:c r="AL161" s="5" t="n">
        <x:v>0.006560449859418931</x:v>
      </x:c>
      <x:c r="AM161" s="5" t="n">
        <x:v>0.0018744142455482662</x:v>
      </x:c>
      <x:c r="AN161" s="5" t="n">
        <x:v>0</x:v>
      </x:c>
      <x:c r="AO161" s="2" t="str">
        <x:v>C181</x:v>
      </x:c>
      <x:c r="AP161" s="2" t="n">
        <x:v>1</x:v>
      </x:c>
    </x:row>
    <x:row r="162" ht="26" customHeight="1">
      <x:c r="A162" s="2" t="n">
        <x:v>182</x:v>
      </x:c>
      <x:c r="B162" s="4" t="n">
        <x:v>46274</x:v>
      </x:c>
      <x:c r="C162" s="10" t="n">
        <x:v>46274.90634259259</x:v>
      </x:c>
      <x:c r="D162" s="2" t="str">
        <x:v>棕榈油</x:v>
      </x:c>
      <x:c r="E162" s="2" t="str">
        <x:v>P2701</x:v>
      </x:c>
      <x:c r="F162" s="2" t="str">
        <x:v>苏冰</x:v>
      </x:c>
      <x:c r="G162" s="2" t="str">
        <x:v>15m</x:v>
      </x:c>
      <x:c r="H162" s="2" t="str">
        <x:v>空头</x:v>
      </x:c>
      <x:c r="I162" s="2" t="n">
        <x:v>-1</x:v>
      </x:c>
      <x:c r="J162" s="10" t="n">
        <x:v>46274.90625</x:v>
      </x:c>
      <x:c r="K162" s="11"/>
      <x:c r="L162" s="10" t="n">
        <x:v>46274.90694444445</x:v>
      </x:c>
      <x:c r="M162" s="11"/>
      <x:c r="N162" s="11"/>
      <x:c r="O162" s="5" t="str">
        <x:f>IF(N162="","",I162*(N162/M162-1))</x:f>
      </x:c>
      <x:c r="P162" s="11"/>
      <x:c r="Q162" s="5" t="str">
        <x:f>IF(P162="","",I162*(P162/M162-1))</x:f>
      </x:c>
      <x:c r="R162" s="11"/>
      <x:c r="S162" s="5" t="str">
        <x:f>IF(R162="","",I162*(R162/M162-1))</x:f>
      </x:c>
      <x:c r="T162" s="2" t="str">
        <x:f>IF(R162="",AK162,IF(S162&gt;0,"有利",IF(S162&lt;0,"不利","持平")))</x:f>
        <x:v>数据不足</x:v>
      </x:c>
      <x:c r="U162" s="5"/>
      <x:c r="V162" s="5"/>
      <x:c r="W162" s="2" t="str">
        <x:v>本次未复算；前次：公式复算数据不足</x:v>
      </x:c>
      <x:c r="X162" s="2" t="str">
        <x:v>逐条结果未留存</x:v>
      </x:c>
      <x:c r="Y162" s="10"/>
      <x:c r="Z162" s="10"/>
      <x:c r="AA162" s="10"/>
      <x:c r="AB162" s="12" t="n">
        <x:v>8.590712</x:v>
      </x:c>
      <x:c r="AC162" s="2" t="str">
        <x:v>subing_ths_alert_15m_v1</x:v>
      </x:c>
      <x:c r="AD162" s="5"/>
      <x:c r="AE162" s="5"/>
      <x:c r="AF162" s="5"/>
      <x:c r="AG162" s="2" t="str">
        <x:v>此前已有</x:v>
      </x:c>
      <x:c r="AH162" s="4" t="n">
        <x:v>46275</x:v>
      </x:c>
      <x:c r="AI162" s="2" t="str">
        <x:v>数据不足</x:v>
      </x:c>
      <x:c r="AJ162" s="2" t="str">
        <x:v>数据不足</x:v>
      </x:c>
      <x:c r="AK162" s="2" t="str">
        <x:v>数据不足</x:v>
      </x:c>
      <x:c r="AL162" s="5" t="n">
        <x:v>0.0037211124167645907</x:v>
      </x:c>
      <x:c r="AM162" s="5" t="n">
        <x:v>0.007344300822561692</x:v>
      </x:c>
      <x:c r="AN162" s="5" t="n">
        <x:v>0.0007833920877399138</x:v>
      </x:c>
      <x:c r="AO162" s="2" t="str">
        <x:v>C182</x:v>
      </x:c>
      <x:c r="AP162" s="2" t="n">
        <x:v>1</x:v>
      </x:c>
    </x:row>
    <x:row r="163" ht="26" customHeight="1">
      <x:c r="A163" s="2" t="n">
        <x:v>183</x:v>
      </x:c>
      <x:c r="B163" s="4" t="n">
        <x:v>46274</x:v>
      </x:c>
      <x:c r="C163" s="10" t="n">
        <x:v>46274.91670138889</x:v>
      </x:c>
      <x:c r="D163" s="2" t="str">
        <x:v>菜粕</x:v>
      </x:c>
      <x:c r="E163" s="2" t="str">
        <x:v>RM2611</x:v>
      </x:c>
      <x:c r="F163" s="2" t="str">
        <x:v>苏冰</x:v>
      </x:c>
      <x:c r="G163" s="2" t="str">
        <x:v>15m</x:v>
      </x:c>
      <x:c r="H163" s="2" t="str">
        <x:v>空头</x:v>
      </x:c>
      <x:c r="I163" s="2" t="n">
        <x:v>-1</x:v>
      </x:c>
      <x:c r="J163" s="10" t="n">
        <x:v>46274.916666666664</x:v>
      </x:c>
      <x:c r="K163" s="11"/>
      <x:c r="L163" s="10" t="n">
        <x:v>46274.91736111111</x:v>
      </x:c>
      <x:c r="M163" s="11"/>
      <x:c r="N163" s="11"/>
      <x:c r="O163" s="5" t="str">
        <x:f>IF(N163="","",I163*(N163/M163-1))</x:f>
      </x:c>
      <x:c r="P163" s="11"/>
      <x:c r="Q163" s="5" t="str">
        <x:f>IF(P163="","",I163*(P163/M163-1))</x:f>
      </x:c>
      <x:c r="R163" s="11"/>
      <x:c r="S163" s="5" t="str">
        <x:f>IF(R163="","",I163*(R163/M163-1))</x:f>
      </x:c>
      <x:c r="T163" s="2" t="str">
        <x:f>IF(R163="",AK163,IF(S163&gt;0,"有利",IF(S163&lt;0,"不利","持平")))</x:f>
        <x:v>数据不足</x:v>
      </x:c>
      <x:c r="U163" s="5"/>
      <x:c r="V163" s="5"/>
      <x:c r="W163" s="2" t="str">
        <x:v>本次未复算；前次：公式复算数据不足</x:v>
      </x:c>
      <x:c r="X163" s="2" t="str">
        <x:v>逐条结果未留存</x:v>
      </x:c>
      <x:c r="Y163" s="10"/>
      <x:c r="Z163" s="10"/>
      <x:c r="AA163" s="10"/>
      <x:c r="AB163" s="12" t="n">
        <x:v>3.758832</x:v>
      </x:c>
      <x:c r="AC163" s="2" t="str">
        <x:v>subing_ths_alert_15m_v1</x:v>
      </x:c>
      <x:c r="AD163" s="5"/>
      <x:c r="AE163" s="5"/>
      <x:c r="AF163" s="5"/>
      <x:c r="AG163" s="2" t="str">
        <x:v>此前已有</x:v>
      </x:c>
      <x:c r="AH163" s="4" t="n">
        <x:v>46275</x:v>
      </x:c>
      <x:c r="AI163" s="2" t="str">
        <x:v>数据不足</x:v>
      </x:c>
      <x:c r="AJ163" s="2" t="str">
        <x:v>数据不足</x:v>
      </x:c>
      <x:c r="AK163" s="2" t="str">
        <x:v>数据不足</x:v>
      </x:c>
      <x:c r="AL163" s="5" t="n">
        <x:v>0.003432003432003432</x:v>
      </x:c>
      <x:c r="AM163" s="5" t="n">
        <x:v>0.003003003003003003</x:v>
      </x:c>
      <x:c r="AN163" s="5" t="n">
        <x:v>0.003003003003003003</x:v>
      </x:c>
      <x:c r="AO163" s="2" t="str">
        <x:v>C183</x:v>
      </x:c>
      <x:c r="AP163" s="2" t="n">
        <x:v>1</x:v>
      </x:c>
    </x:row>
    <x:row r="164" ht="26" customHeight="1">
      <x:c r="A164" s="2" t="n">
        <x:v>184</x:v>
      </x:c>
      <x:c r="B164" s="4" t="n">
        <x:v>46274</x:v>
      </x:c>
      <x:c r="C164" s="10" t="n">
        <x:v>46274.91675925926</x:v>
      </x:c>
      <x:c r="D164" s="2" t="str">
        <x:v>豆一</x:v>
      </x:c>
      <x:c r="E164" s="2" t="str">
        <x:v>A2611</x:v>
      </x:c>
      <x:c r="F164" s="2" t="str">
        <x:v>苏冰</x:v>
      </x:c>
      <x:c r="G164" s="2" t="str">
        <x:v>15m</x:v>
      </x:c>
      <x:c r="H164" s="2" t="str">
        <x:v>空头</x:v>
      </x:c>
      <x:c r="I164" s="2" t="n">
        <x:v>-1</x:v>
      </x:c>
      <x:c r="J164" s="10" t="n">
        <x:v>46274.916666666664</x:v>
      </x:c>
      <x:c r="K164" s="11"/>
      <x:c r="L164" s="10" t="n">
        <x:v>46274.91736111111</x:v>
      </x:c>
      <x:c r="M164" s="11"/>
      <x:c r="N164" s="11"/>
      <x:c r="O164" s="5" t="str">
        <x:f>IF(N164="","",I164*(N164/M164-1))</x:f>
      </x:c>
      <x:c r="P164" s="11"/>
      <x:c r="Q164" s="5" t="str">
        <x:f>IF(P164="","",I164*(P164/M164-1))</x:f>
      </x:c>
      <x:c r="R164" s="11"/>
      <x:c r="S164" s="5" t="str">
        <x:f>IF(R164="","",I164*(R164/M164-1))</x:f>
      </x:c>
      <x:c r="T164" s="2" t="str">
        <x:f>IF(R164="",AK164,IF(S164&gt;0,"有利",IF(S164&lt;0,"不利","持平")))</x:f>
        <x:v>数据不足</x:v>
      </x:c>
      <x:c r="U164" s="5"/>
      <x:c r="V164" s="5"/>
      <x:c r="W164" s="2" t="str">
        <x:v>本次未复算；前次：公式复算数据不足</x:v>
      </x:c>
      <x:c r="X164" s="2" t="str">
        <x:v>逐条结果未留存</x:v>
      </x:c>
      <x:c r="Y164" s="10"/>
      <x:c r="Z164" s="10"/>
      <x:c r="AA164" s="10"/>
      <x:c r="AB164" s="12" t="n">
        <x:v>8.01564</x:v>
      </x:c>
      <x:c r="AC164" s="2" t="str">
        <x:v>subing_ths_alert_15m_v1</x:v>
      </x:c>
      <x:c r="AD164" s="5"/>
      <x:c r="AE164" s="5"/>
      <x:c r="AF164" s="5"/>
      <x:c r="AG164" s="2" t="str">
        <x:v>此前已有</x:v>
      </x:c>
      <x:c r="AH164" s="4" t="n">
        <x:v>46275</x:v>
      </x:c>
      <x:c r="AI164" s="2" t="str">
        <x:v>数据不足</x:v>
      </x:c>
      <x:c r="AJ164" s="2" t="str">
        <x:v>数据不足</x:v>
      </x:c>
      <x:c r="AK164" s="2" t="str">
        <x:v>数据不足</x:v>
      </x:c>
      <x:c r="AL164" s="5" t="n">
        <x:v>0.000782625709254549</x:v>
      </x:c>
      <x:c r="AM164" s="5" t="n">
        <x:v>-0.0013695949911954608</x:v>
      </x:c>
      <x:c r="AN164" s="5" t="n">
        <x:v>-0.0037174721189591076</x:v>
      </x:c>
      <x:c r="AO164" s="2" t="str">
        <x:v>C184</x:v>
      </x:c>
      <x:c r="AP164" s="2" t="n">
        <x:v>1</x:v>
      </x:c>
    </x:row>
    <x:row r="165" ht="26" customHeight="1">
      <x:c r="A165" s="2" t="n">
        <x:v>185</x:v>
      </x:c>
      <x:c r="B165" s="4" t="n">
        <x:v>46274</x:v>
      </x:c>
      <x:c r="C165" s="10" t="n">
        <x:v>46274.91677083333</x:v>
      </x:c>
      <x:c r="D165" s="2" t="str">
        <x:v>豆二</x:v>
      </x:c>
      <x:c r="E165" s="2" t="str">
        <x:v>B2611</x:v>
      </x:c>
      <x:c r="F165" s="2" t="str">
        <x:v>苏冰</x:v>
      </x:c>
      <x:c r="G165" s="2" t="str">
        <x:v>15m</x:v>
      </x:c>
      <x:c r="H165" s="2" t="str">
        <x:v>空头</x:v>
      </x:c>
      <x:c r="I165" s="2" t="n">
        <x:v>-1</x:v>
      </x:c>
      <x:c r="J165" s="10" t="n">
        <x:v>46274.916666666664</x:v>
      </x:c>
      <x:c r="K165" s="11"/>
      <x:c r="L165" s="10" t="n">
        <x:v>46274.91736111111</x:v>
      </x:c>
      <x:c r="M165" s="11"/>
      <x:c r="N165" s="11"/>
      <x:c r="O165" s="5" t="str">
        <x:f>IF(N165="","",I165*(N165/M165-1))</x:f>
      </x:c>
      <x:c r="P165" s="11"/>
      <x:c r="Q165" s="5" t="str">
        <x:f>IF(P165="","",I165*(P165/M165-1))</x:f>
      </x:c>
      <x:c r="R165" s="11"/>
      <x:c r="S165" s="5" t="str">
        <x:f>IF(R165="","",I165*(R165/M165-1))</x:f>
      </x:c>
      <x:c r="T165" s="2" t="str">
        <x:f>IF(R165="",AK165,IF(S165&gt;0,"有利",IF(S165&lt;0,"不利","持平")))</x:f>
        <x:v>数据不足</x:v>
      </x:c>
      <x:c r="U165" s="5"/>
      <x:c r="V165" s="5"/>
      <x:c r="W165" s="2" t="str">
        <x:v>本次未复算；前次：公式复算数据不足</x:v>
      </x:c>
      <x:c r="X165" s="2" t="str">
        <x:v>逐条结果未留存</x:v>
      </x:c>
      <x:c r="Y165" s="10"/>
      <x:c r="Z165" s="10"/>
      <x:c r="AA165" s="10"/>
      <x:c r="AB165" s="12" t="n">
        <x:v>9.027727</x:v>
      </x:c>
      <x:c r="AC165" s="2" t="str">
        <x:v>subing_ths_alert_15m_v1</x:v>
      </x:c>
      <x:c r="AD165" s="5"/>
      <x:c r="AE165" s="5"/>
      <x:c r="AF165" s="5"/>
      <x:c r="AG165" s="2" t="str">
        <x:v>此前已有</x:v>
      </x:c>
      <x:c r="AH165" s="4" t="n">
        <x:v>46275</x:v>
      </x:c>
      <x:c r="AI165" s="2" t="str">
        <x:v>数据不足</x:v>
      </x:c>
      <x:c r="AJ165" s="2" t="str">
        <x:v>数据不足</x:v>
      </x:c>
      <x:c r="AK165" s="2" t="str">
        <x:v>数据不足</x:v>
      </x:c>
      <x:c r="AL165" s="5" t="n">
        <x:v>0.0019403347077370846</x:v>
      </x:c>
      <x:c r="AM165" s="5" t="n">
        <x:v>0.0007276255154014067</x:v>
      </x:c>
      <x:c r="AN165" s="5" t="n">
        <x:v>0.0009701673538685423</x:v>
      </x:c>
      <x:c r="AO165" s="2" t="str">
        <x:v>C185</x:v>
      </x:c>
      <x:c r="AP165" s="2" t="n">
        <x:v>1</x:v>
      </x:c>
    </x:row>
    <x:row r="166" ht="26" customHeight="1">
      <x:c r="A166" s="2" t="n">
        <x:v>186</x:v>
      </x:c>
      <x:c r="B166" s="4" t="n">
        <x:v>46274</x:v>
      </x:c>
      <x:c r="C166" s="10" t="n">
        <x:v>46274.91677083333</x:v>
      </x:c>
      <x:c r="D166" s="2" t="str">
        <x:v>铝</x:v>
      </x:c>
      <x:c r="E166" s="2" t="str">
        <x:v>AL2610</x:v>
      </x:c>
      <x:c r="F166" s="2" t="str">
        <x:v>苏冰</x:v>
      </x:c>
      <x:c r="G166" s="2" t="str">
        <x:v>15m</x:v>
      </x:c>
      <x:c r="H166" s="2" t="str">
        <x:v>空头</x:v>
      </x:c>
      <x:c r="I166" s="2" t="n">
        <x:v>-1</x:v>
      </x:c>
      <x:c r="J166" s="10" t="n">
        <x:v>46274.916666666664</x:v>
      </x:c>
      <x:c r="K166" s="11"/>
      <x:c r="L166" s="10" t="n">
        <x:v>46274.91736111111</x:v>
      </x:c>
      <x:c r="M166" s="11"/>
      <x:c r="N166" s="11"/>
      <x:c r="O166" s="5" t="str">
        <x:f>IF(N166="","",I166*(N166/M166-1))</x:f>
      </x:c>
      <x:c r="P166" s="11"/>
      <x:c r="Q166" s="5" t="str">
        <x:f>IF(P166="","",I166*(P166/M166-1))</x:f>
      </x:c>
      <x:c r="R166" s="11"/>
      <x:c r="S166" s="5" t="str">
        <x:f>IF(R166="","",I166*(R166/M166-1))</x:f>
      </x:c>
      <x:c r="T166" s="2" t="str">
        <x:f>IF(R166="",AK166,IF(S166&gt;0,"有利",IF(S166&lt;0,"不利","持平")))</x:f>
        <x:v>数据不足</x:v>
      </x:c>
      <x:c r="U166" s="5"/>
      <x:c r="V166" s="5"/>
      <x:c r="W166" s="2" t="str">
        <x:v>本次未复算；前次：公式复算数据不足</x:v>
      </x:c>
      <x:c r="X166" s="2" t="str">
        <x:v>逐条结果未留存</x:v>
      </x:c>
      <x:c r="Y166" s="10"/>
      <x:c r="Z166" s="10"/>
      <x:c r="AA166" s="10"/>
      <x:c r="AB166" s="12" t="n">
        <x:v>9.818194</x:v>
      </x:c>
      <x:c r="AC166" s="2" t="str">
        <x:v>subing_ths_alert_15m_v1</x:v>
      </x:c>
      <x:c r="AD166" s="5"/>
      <x:c r="AE166" s="5"/>
      <x:c r="AF166" s="5"/>
      <x:c r="AG166" s="2" t="str">
        <x:v>此前已有</x:v>
      </x:c>
      <x:c r="AH166" s="4" t="n">
        <x:v>46275</x:v>
      </x:c>
      <x:c r="AI166" s="2" t="str">
        <x:v>数据不足</x:v>
      </x:c>
      <x:c r="AJ166" s="2" t="str">
        <x:v>数据不足</x:v>
      </x:c>
      <x:c r="AK166" s="2" t="str">
        <x:v>数据不足</x:v>
      </x:c>
      <x:c r="AL166" s="5" t="n">
        <x:v>-0.0014245014245014246</x:v>
      </x:c>
      <x:c r="AM166" s="5" t="n">
        <x:v>-0.0018315018315018315</x:v>
      </x:c>
      <x:c r="AN166" s="5" t="n">
        <x:v>-0.002035002035002035</x:v>
      </x:c>
      <x:c r="AO166" s="2" t="str">
        <x:v>C186</x:v>
      </x:c>
      <x:c r="AP166" s="2" t="n">
        <x:v>1</x:v>
      </x:c>
    </x:row>
    <x:row r="167" ht="26" customHeight="1">
      <x:c r="A167" s="2" t="n">
        <x:v>187</x:v>
      </x:c>
      <x:c r="B167" s="4" t="n">
        <x:v>46274</x:v>
      </x:c>
      <x:c r="C167" s="10" t="n">
        <x:v>46274.91679398148</x:v>
      </x:c>
      <x:c r="D167" s="2" t="str">
        <x:v>天然橡胶</x:v>
      </x:c>
      <x:c r="E167" s="2" t="str">
        <x:v>RU2701</x:v>
      </x:c>
      <x:c r="F167" s="2" t="str">
        <x:v>苏冰</x:v>
      </x:c>
      <x:c r="G167" s="2" t="str">
        <x:v>15m</x:v>
      </x:c>
      <x:c r="H167" s="2" t="str">
        <x:v>空头</x:v>
      </x:c>
      <x:c r="I167" s="2" t="n">
        <x:v>-1</x:v>
      </x:c>
      <x:c r="J167" s="10" t="n">
        <x:v>46274.916666666664</x:v>
      </x:c>
      <x:c r="K167" s="11"/>
      <x:c r="L167" s="10" t="n">
        <x:v>46274.91736111111</x:v>
      </x:c>
      <x:c r="M167" s="11"/>
      <x:c r="N167" s="11"/>
      <x:c r="O167" s="5" t="str">
        <x:f>IF(N167="","",I167*(N167/M167-1))</x:f>
      </x:c>
      <x:c r="P167" s="11"/>
      <x:c r="Q167" s="5" t="str">
        <x:f>IF(P167="","",I167*(P167/M167-1))</x:f>
      </x:c>
      <x:c r="R167" s="11"/>
      <x:c r="S167" s="5" t="str">
        <x:f>IF(R167="","",I167*(R167/M167-1))</x:f>
      </x:c>
      <x:c r="T167" s="2" t="str">
        <x:f>IF(R167="",AK167,IF(S167&gt;0,"有利",IF(S167&lt;0,"不利","持平")))</x:f>
        <x:v>数据不足</x:v>
      </x:c>
      <x:c r="U167" s="5"/>
      <x:c r="V167" s="5"/>
      <x:c r="W167" s="2" t="str">
        <x:v>本次未复算；前次：公式复算数据不足</x:v>
      </x:c>
      <x:c r="X167" s="2" t="str">
        <x:v>逐条结果未留存</x:v>
      </x:c>
      <x:c r="Y167" s="10"/>
      <x:c r="Z167" s="10"/>
      <x:c r="AA167" s="10"/>
      <x:c r="AB167" s="12" t="n">
        <x:v>11.47262</x:v>
      </x:c>
      <x:c r="AC167" s="2" t="str">
        <x:v>subing_ths_alert_15m_v1</x:v>
      </x:c>
      <x:c r="AD167" s="5"/>
      <x:c r="AE167" s="5"/>
      <x:c r="AF167" s="5"/>
      <x:c r="AG167" s="2" t="str">
        <x:v>此前已有</x:v>
      </x:c>
      <x:c r="AH167" s="4" t="n">
        <x:v>46275</x:v>
      </x:c>
      <x:c r="AI167" s="2" t="str">
        <x:v>数据不足</x:v>
      </x:c>
      <x:c r="AJ167" s="2" t="str">
        <x:v>数据不足</x:v>
      </x:c>
      <x:c r="AK167" s="2" t="str">
        <x:v>数据不足</x:v>
      </x:c>
      <x:c r="AL167" s="5" t="n">
        <x:v>-0.00025588536335721597</x:v>
      </x:c>
      <x:c r="AM167" s="5" t="n">
        <x:v>-0.0015353121801432957</x:v>
      </x:c>
      <x:c r="AN167" s="5" t="n">
        <x:v>-0.0035823950870010235</x:v>
      </x:c>
      <x:c r="AO167" s="2" t="str">
        <x:v>C187</x:v>
      </x:c>
      <x:c r="AP167" s="2" t="n">
        <x:v>1</x:v>
      </x:c>
    </x:row>
    <x:row r="168" ht="26" customHeight="1">
      <x:c r="A168" s="2" t="n">
        <x:v>188</x:v>
      </x:c>
      <x:c r="B168" s="4" t="n">
        <x:v>46274</x:v>
      </x:c>
      <x:c r="C168" s="10" t="n">
        <x:v>46274.916817129626</x:v>
      </x:c>
      <x:c r="D168" s="2" t="str">
        <x:v>豆油</x:v>
      </x:c>
      <x:c r="E168" s="2" t="str">
        <x:v>Y2701</x:v>
      </x:c>
      <x:c r="F168" s="2" t="str">
        <x:v>苏冰</x:v>
      </x:c>
      <x:c r="G168" s="2" t="str">
        <x:v>15m</x:v>
      </x:c>
      <x:c r="H168" s="2" t="str">
        <x:v>空头</x:v>
      </x:c>
      <x:c r="I168" s="2" t="n">
        <x:v>-1</x:v>
      </x:c>
      <x:c r="J168" s="10" t="n">
        <x:v>46274.916666666664</x:v>
      </x:c>
      <x:c r="K168" s="11"/>
      <x:c r="L168" s="10" t="n">
        <x:v>46274.91736111111</x:v>
      </x:c>
      <x:c r="M168" s="11"/>
      <x:c r="N168" s="11"/>
      <x:c r="O168" s="5" t="str">
        <x:f>IF(N168="","",I168*(N168/M168-1))</x:f>
      </x:c>
      <x:c r="P168" s="11"/>
      <x:c r="Q168" s="5" t="str">
        <x:f>IF(P168="","",I168*(P168/M168-1))</x:f>
      </x:c>
      <x:c r="R168" s="11"/>
      <x:c r="S168" s="5" t="str">
        <x:f>IF(R168="","",I168*(R168/M168-1))</x:f>
      </x:c>
      <x:c r="T168" s="2" t="str">
        <x:f>IF(R168="",AK168,IF(S168&gt;0,"有利",IF(S168&lt;0,"不利","持平")))</x:f>
        <x:v>数据不足</x:v>
      </x:c>
      <x:c r="U168" s="5"/>
      <x:c r="V168" s="5"/>
      <x:c r="W168" s="2" t="str">
        <x:v>本次未复算；前次：公式复算数据不足</x:v>
      </x:c>
      <x:c r="X168" s="2" t="str">
        <x:v>逐条结果未留存</x:v>
      </x:c>
      <x:c r="Y168" s="10"/>
      <x:c r="Z168" s="10"/>
      <x:c r="AA168" s="10"/>
      <x:c r="AB168" s="12" t="n">
        <x:v>13.040805</x:v>
      </x:c>
      <x:c r="AC168" s="2" t="str">
        <x:v>subing_ths_alert_15m_v1</x:v>
      </x:c>
      <x:c r="AD168" s="5"/>
      <x:c r="AE168" s="5"/>
      <x:c r="AF168" s="5"/>
      <x:c r="AG168" s="2" t="str">
        <x:v>此前已有</x:v>
      </x:c>
      <x:c r="AH168" s="4" t="n">
        <x:v>46275</x:v>
      </x:c>
      <x:c r="AI168" s="2" t="str">
        <x:v>数据不足</x:v>
      </x:c>
      <x:c r="AJ168" s="2" t="str">
        <x:v>数据不足</x:v>
      </x:c>
      <x:c r="AK168" s="2" t="str">
        <x:v>数据不足</x:v>
      </x:c>
      <x:c r="AL168" s="5" t="n">
        <x:v>0.003756490995470114</x:v>
      </x:c>
      <x:c r="AM168" s="5" t="n">
        <x:v>0.001436305380620926</x:v>
      </x:c>
      <x:c r="AN168" s="5" t="n">
        <x:v>0.0006629101756711965</x:v>
      </x:c>
      <x:c r="AO168" s="2" t="str">
        <x:v>C188</x:v>
      </x:c>
      <x:c r="AP168" s="2" t="n">
        <x:v>1</x:v>
      </x:c>
    </x:row>
    <x:row r="169" ht="26" customHeight="1">
      <x:c r="A169" s="2" t="n">
        <x:v>189</x:v>
      </x:c>
      <x:c r="B169" s="4" t="n">
        <x:v>46274</x:v>
      </x:c>
      <x:c r="C169" s="10" t="n">
        <x:v>46274.927141203705</x:v>
      </x:c>
      <x:c r="D169" s="2" t="str">
        <x:v>铝</x:v>
      </x:c>
      <x:c r="E169" s="2" t="str">
        <x:v>AL2610</x:v>
      </x:c>
      <x:c r="F169" s="2" t="str">
        <x:v>苏冰</x:v>
      </x:c>
      <x:c r="G169" s="2" t="str">
        <x:v>15m</x:v>
      </x:c>
      <x:c r="H169" s="2" t="str">
        <x:v>多头</x:v>
      </x:c>
      <x:c r="I169" s="2" t="n">
        <x:v>1</x:v>
      </x:c>
      <x:c r="J169" s="10" t="n">
        <x:v>46274.927083333336</x:v>
      </x:c>
      <x:c r="K169" s="11"/>
      <x:c r="L169" s="10" t="n">
        <x:v>46274.927777777775</x:v>
      </x:c>
      <x:c r="M169" s="11"/>
      <x:c r="N169" s="11"/>
      <x:c r="O169" s="5" t="str">
        <x:f>IF(N169="","",I169*(N169/M169-1))</x:f>
      </x:c>
      <x:c r="P169" s="11"/>
      <x:c r="Q169" s="5" t="str">
        <x:f>IF(P169="","",I169*(P169/M169-1))</x:f>
      </x:c>
      <x:c r="R169" s="11"/>
      <x:c r="S169" s="5" t="str">
        <x:f>IF(R169="","",I169*(R169/M169-1))</x:f>
      </x:c>
      <x:c r="T169" s="2" t="str">
        <x:f>IF(R169="",AK169,IF(S169&gt;0,"有利",IF(S169&lt;0,"不利","持平")))</x:f>
        <x:v>数据不足</x:v>
      </x:c>
      <x:c r="U169" s="5"/>
      <x:c r="V169" s="5"/>
      <x:c r="W169" s="2" t="str">
        <x:v>本次未复算；前次：公式复算数据不足</x:v>
      </x:c>
      <x:c r="X169" s="2" t="str">
        <x:v>逐条结果未留存</x:v>
      </x:c>
      <x:c r="Y169" s="10"/>
      <x:c r="Z169" s="10"/>
      <x:c r="AA169" s="10"/>
      <x:c r="AB169" s="12" t="n">
        <x:v>5.878223</x:v>
      </x:c>
      <x:c r="AC169" s="2" t="str">
        <x:v>subing_ths_alert_15m_v1</x:v>
      </x:c>
      <x:c r="AD169" s="5"/>
      <x:c r="AE169" s="5"/>
      <x:c r="AF169" s="5"/>
      <x:c r="AG169" s="2" t="str">
        <x:v>此前已有</x:v>
      </x:c>
      <x:c r="AH169" s="4" t="n">
        <x:v>46275</x:v>
      </x:c>
      <x:c r="AI169" s="2" t="str">
        <x:v>数据不足</x:v>
      </x:c>
      <x:c r="AJ169" s="2" t="str">
        <x:v>数据不足</x:v>
      </x:c>
      <x:c r="AK169" s="2" t="str">
        <x:v>数据不足</x:v>
      </x:c>
      <x:c r="AL169" s="5" t="n">
        <x:v>0.000406421459053038</x:v>
      </x:c>
      <x:c r="AM169" s="5" t="n">
        <x:v>0.001016053647632595</x:v>
      </x:c>
      <x:c r="AN169" s="5" t="n">
        <x:v>-0.000406421459053038</x:v>
      </x:c>
      <x:c r="AO169" s="2" t="str">
        <x:v>C178</x:v>
      </x:c>
      <x:c r="AP169" s="2" t="n">
        <x:v>0</x:v>
      </x:c>
    </x:row>
    <x:row r="170" ht="26" customHeight="1">
      <x:c r="A170" s="2" t="n">
        <x:v>190</x:v>
      </x:c>
      <x:c r="B170" s="4" t="n">
        <x:v>46274</x:v>
      </x:c>
      <x:c r="C170" s="10" t="n">
        <x:v>46274.92717592593</x:v>
      </x:c>
      <x:c r="D170" s="2" t="str">
        <x:v>豆粕</x:v>
      </x:c>
      <x:c r="E170" s="2" t="str">
        <x:v>M2701</x:v>
      </x:c>
      <x:c r="F170" s="2" t="str">
        <x:v>苏冰</x:v>
      </x:c>
      <x:c r="G170" s="2" t="str">
        <x:v>15m</x:v>
      </x:c>
      <x:c r="H170" s="2" t="str">
        <x:v>空头</x:v>
      </x:c>
      <x:c r="I170" s="2" t="n">
        <x:v>-1</x:v>
      </x:c>
      <x:c r="J170" s="10" t="n">
        <x:v>46274.927083333336</x:v>
      </x:c>
      <x:c r="K170" s="11"/>
      <x:c r="L170" s="10" t="n">
        <x:v>46274.927777777775</x:v>
      </x:c>
      <x:c r="M170" s="11"/>
      <x:c r="N170" s="11"/>
      <x:c r="O170" s="5" t="str">
        <x:f>IF(N170="","",I170*(N170/M170-1))</x:f>
      </x:c>
      <x:c r="P170" s="11"/>
      <x:c r="Q170" s="5" t="str">
        <x:f>IF(P170="","",I170*(P170/M170-1))</x:f>
      </x:c>
      <x:c r="R170" s="11"/>
      <x:c r="S170" s="5" t="str">
        <x:f>IF(R170="","",I170*(R170/M170-1))</x:f>
      </x:c>
      <x:c r="T170" s="2" t="str">
        <x:f>IF(R170="",AK170,IF(S170&gt;0,"有利",IF(S170&lt;0,"不利","持平")))</x:f>
        <x:v>数据不足</x:v>
      </x:c>
      <x:c r="U170" s="5"/>
      <x:c r="V170" s="5"/>
      <x:c r="W170" s="2" t="str">
        <x:v>本次未复算；前次：公式复算数据不足</x:v>
      </x:c>
      <x:c r="X170" s="2" t="str">
        <x:v>逐条结果未留存</x:v>
      </x:c>
      <x:c r="Y170" s="10"/>
      <x:c r="Z170" s="10"/>
      <x:c r="AA170" s="10"/>
      <x:c r="AB170" s="12" t="n">
        <x:v>8.563706</x:v>
      </x:c>
      <x:c r="AC170" s="2" t="str">
        <x:v>subing_ths_alert_15m_v1</x:v>
      </x:c>
      <x:c r="AD170" s="5"/>
      <x:c r="AE170" s="5"/>
      <x:c r="AF170" s="5"/>
      <x:c r="AG170" s="2" t="str">
        <x:v>此前已有</x:v>
      </x:c>
      <x:c r="AH170" s="4" t="n">
        <x:v>46275</x:v>
      </x:c>
      <x:c r="AI170" s="2" t="str">
        <x:v>数据不足</x:v>
      </x:c>
      <x:c r="AJ170" s="2" t="str">
        <x:v>数据不足</x:v>
      </x:c>
      <x:c r="AK170" s="2" t="str">
        <x:v>数据不足</x:v>
      </x:c>
      <x:c r="AL170" s="5" t="n">
        <x:v>-0.0017740981667652277</x:v>
      </x:c>
      <x:c r="AM170" s="5" t="n">
        <x:v>-0.00384387936132466</x:v>
      </x:c>
      <x:c r="AN170" s="5" t="n">
        <x:v>-0.0011827321111768185</x:v>
      </x:c>
      <x:c r="AO170" s="2" t="str">
        <x:v>C190</x:v>
      </x:c>
      <x:c r="AP170" s="2" t="n">
        <x:v>1</x:v>
      </x:c>
    </x:row>
    <x:row r="171" ht="26" customHeight="1">
      <x:c r="A171" s="2" t="n">
        <x:v>191</x:v>
      </x:c>
      <x:c r="B171" s="4" t="n">
        <x:v>46274</x:v>
      </x:c>
      <x:c r="C171" s="10" t="n">
        <x:v>46274.9375462963</x:v>
      </x:c>
      <x:c r="D171" s="2" t="str">
        <x:v>甲醇</x:v>
      </x:c>
      <x:c r="E171" s="2" t="str">
        <x:v>MA2610</x:v>
      </x:c>
      <x:c r="F171" s="2" t="str">
        <x:v>苏冰</x:v>
      </x:c>
      <x:c r="G171" s="2" t="str">
        <x:v>15m</x:v>
      </x:c>
      <x:c r="H171" s="2" t="str">
        <x:v>多头</x:v>
      </x:c>
      <x:c r="I171" s="2" t="n">
        <x:v>1</x:v>
      </x:c>
      <x:c r="J171" s="10" t="n">
        <x:v>46274.9375</x:v>
      </x:c>
      <x:c r="K171" s="11"/>
      <x:c r="L171" s="10" t="n">
        <x:v>46274.93819444445</x:v>
      </x:c>
      <x:c r="M171" s="11"/>
      <x:c r="N171" s="11"/>
      <x:c r="O171" s="5" t="str">
        <x:f>IF(N171="","",I171*(N171/M171-1))</x:f>
      </x:c>
      <x:c r="P171" s="11"/>
      <x:c r="Q171" s="5" t="str">
        <x:f>IF(P171="","",I171*(P171/M171-1))</x:f>
      </x:c>
      <x:c r="R171" s="11"/>
      <x:c r="S171" s="5" t="str">
        <x:f>IF(R171="","",I171*(R171/M171-1))</x:f>
      </x:c>
      <x:c r="T171" s="2" t="str">
        <x:f>IF(R171="",AK171,IF(S171&gt;0,"有利",IF(S171&lt;0,"不利","持平")))</x:f>
        <x:v>数据不足</x:v>
      </x:c>
      <x:c r="U171" s="5"/>
      <x:c r="V171" s="5"/>
      <x:c r="W171" s="2" t="str">
        <x:v>本次未复算；前次：公式复算数据不足</x:v>
      </x:c>
      <x:c r="X171" s="2" t="str">
        <x:v>逐条结果未留存</x:v>
      </x:c>
      <x:c r="Y171" s="10"/>
      <x:c r="Z171" s="10"/>
      <x:c r="AA171" s="10"/>
      <x:c r="AB171" s="12" t="n">
        <x:v>4.290318</x:v>
      </x:c>
      <x:c r="AC171" s="2" t="str">
        <x:v>subing_ths_alert_15m_v1</x:v>
      </x:c>
      <x:c r="AD171" s="5"/>
      <x:c r="AE171" s="5"/>
      <x:c r="AF171" s="5"/>
      <x:c r="AG171" s="2" t="str">
        <x:v>此前已有</x:v>
      </x:c>
      <x:c r="AH171" s="4" t="n">
        <x:v>46275</x:v>
      </x:c>
      <x:c r="AI171" s="2" t="str">
        <x:v>数据不足</x:v>
      </x:c>
      <x:c r="AJ171" s="2" t="str">
        <x:v>数据不足</x:v>
      </x:c>
      <x:c r="AK171" s="2" t="str">
        <x:v>数据不足</x:v>
      </x:c>
      <x:c r="AL171" s="5" t="n">
        <x:v>0.005467625899280576</x:v>
      </x:c>
      <x:c r="AM171" s="5" t="n">
        <x:v>0</x:v>
      </x:c>
      <x:c r="AN171" s="5" t="n">
        <x:v>0.025035971223021584</x:v>
      </x:c>
      <x:c r="AO171" s="2" t="str">
        <x:v>C191</x:v>
      </x:c>
      <x:c r="AP171" s="2" t="n">
        <x:v>1</x:v>
      </x:c>
    </x:row>
    <x:row r="172" ht="26" customHeight="1">
      <x:c r="A172" s="2" t="n">
        <x:v>192</x:v>
      </x:c>
      <x:c r="B172" s="4" t="n">
        <x:v>46274</x:v>
      </x:c>
      <x:c r="C172" s="10" t="n">
        <x:v>46274.93759259259</x:v>
      </x:c>
      <x:c r="D172" s="2" t="str">
        <x:v>焦煤</x:v>
      </x:c>
      <x:c r="E172" s="2" t="str">
        <x:v>JM2701</x:v>
      </x:c>
      <x:c r="F172" s="2" t="str">
        <x:v>火天大有</x:v>
      </x:c>
      <x:c r="G172" s="2" t="str">
        <x:v>15m</x:v>
      </x:c>
      <x:c r="H172" s="2" t="str">
        <x:v>多头</x:v>
      </x:c>
      <x:c r="I172" s="2" t="n">
        <x:v>1</x:v>
      </x:c>
      <x:c r="J172" s="10" t="n">
        <x:v>46274.9375</x:v>
      </x:c>
      <x:c r="K172" s="11"/>
      <x:c r="L172" s="10" t="n">
        <x:v>46274.93819444445</x:v>
      </x:c>
      <x:c r="M172" s="11"/>
      <x:c r="N172" s="11"/>
      <x:c r="O172" s="5" t="str">
        <x:f>IF(N172="","",I172*(N172/M172-1))</x:f>
      </x:c>
      <x:c r="P172" s="11"/>
      <x:c r="Q172" s="5" t="str">
        <x:f>IF(P172="","",I172*(P172/M172-1))</x:f>
      </x:c>
      <x:c r="R172" s="11"/>
      <x:c r="S172" s="5" t="str">
        <x:f>IF(R172="","",I172*(R172/M172-1))</x:f>
      </x:c>
      <x:c r="T172" s="2" t="str">
        <x:f>IF(R172="",AK172,IF(S172&gt;0,"有利",IF(S172&lt;0,"不利","持平")))</x:f>
        <x:v>数据不足</x:v>
      </x:c>
      <x:c r="U172" s="5"/>
      <x:c r="V172" s="5"/>
      <x:c r="W172" s="2" t="str">
        <x:v>本次未复算；前次：公式复算数据不足</x:v>
      </x:c>
      <x:c r="X172" s="2" t="str">
        <x:v>逐条结果未留存</x:v>
      </x:c>
      <x:c r="Y172" s="10"/>
      <x:c r="Z172" s="10"/>
      <x:c r="AA172" s="10"/>
      <x:c r="AB172" s="12" t="n">
        <x:v>8.692561</x:v>
      </x:c>
      <x:c r="AC172" s="2" t="str">
        <x:v>htdy_original_15m</x:v>
      </x:c>
      <x:c r="AD172" s="5"/>
      <x:c r="AE172" s="5"/>
      <x:c r="AF172" s="5"/>
      <x:c r="AG172" s="2" t="str">
        <x:v>此前已有</x:v>
      </x:c>
      <x:c r="AH172" s="4" t="n">
        <x:v>46275</x:v>
      </x:c>
      <x:c r="AI172" s="2" t="str">
        <x:v>数据不足</x:v>
      </x:c>
      <x:c r="AJ172" s="2" t="str">
        <x:v>数据不足</x:v>
      </x:c>
      <x:c r="AK172" s="2" t="str">
        <x:v>数据不足</x:v>
      </x:c>
      <x:c r="AL172" s="5" t="n">
        <x:v>0.0027683789603199014</x:v>
      </x:c>
      <x:c r="AM172" s="5" t="n">
        <x:v>0.0015379883112888342</x:v>
      </x:c>
      <x:c r="AN172" s="5" t="n">
        <x:v>0.006151953245155337</x:v>
      </x:c>
      <x:c r="AO172" s="2" t="str">
        <x:v>C192</x:v>
      </x:c>
      <x:c r="AP172" s="2" t="n">
        <x:v>1</x:v>
      </x:c>
    </x:row>
    <x:row r="173" ht="26" customHeight="1">
      <x:c r="A173" s="2" t="n">
        <x:v>193</x:v>
      </x:c>
      <x:c r="B173" s="4" t="n">
        <x:v>46274</x:v>
      </x:c>
      <x:c r="C173" s="10" t="n">
        <x:v>46274.9687962963</x:v>
      </x:c>
      <x:c r="D173" s="2" t="str">
        <x:v>铝</x:v>
      </x:c>
      <x:c r="E173" s="2" t="str">
        <x:v>AL2610</x:v>
      </x:c>
      <x:c r="F173" s="2" t="str">
        <x:v>苏冰</x:v>
      </x:c>
      <x:c r="G173" s="2" t="str">
        <x:v>15m</x:v>
      </x:c>
      <x:c r="H173" s="2" t="str">
        <x:v>空头</x:v>
      </x:c>
      <x:c r="I173" s="2" t="n">
        <x:v>-1</x:v>
      </x:c>
      <x:c r="J173" s="10" t="n">
        <x:v>46274.96875</x:v>
      </x:c>
      <x:c r="K173" s="11"/>
      <x:c r="L173" s="10" t="n">
        <x:v>46274.96944444445</x:v>
      </x:c>
      <x:c r="M173" s="11"/>
      <x:c r="N173" s="11"/>
      <x:c r="O173" s="5" t="str">
        <x:f>IF(N173="","",I173*(N173/M173-1))</x:f>
      </x:c>
      <x:c r="P173" s="11"/>
      <x:c r="Q173" s="5" t="str">
        <x:f>IF(P173="","",I173*(P173/M173-1))</x:f>
      </x:c>
      <x:c r="R173" s="11"/>
      <x:c r="S173" s="5" t="str">
        <x:f>IF(R173="","",I173*(R173/M173-1))</x:f>
      </x:c>
      <x:c r="T173" s="2" t="str">
        <x:f>IF(R173="",AK173,IF(S173&gt;0,"有利",IF(S173&lt;0,"不利","持平")))</x:f>
        <x:v>数据不足</x:v>
      </x:c>
      <x:c r="U173" s="5"/>
      <x:c r="V173" s="5"/>
      <x:c r="W173" s="2" t="str">
        <x:v>本次未复算；前次：公式复算数据不足</x:v>
      </x:c>
      <x:c r="X173" s="2" t="str">
        <x:v>逐条结果未留存</x:v>
      </x:c>
      <x:c r="Y173" s="10"/>
      <x:c r="Z173" s="10"/>
      <x:c r="AA173" s="10"/>
      <x:c r="AB173" s="12" t="n">
        <x:v>4.206085</x:v>
      </x:c>
      <x:c r="AC173" s="2" t="str">
        <x:v>subing_ths_alert_15m_v1</x:v>
      </x:c>
      <x:c r="AD173" s="5"/>
      <x:c r="AE173" s="5"/>
      <x:c r="AF173" s="5"/>
      <x:c r="AG173" s="2" t="str">
        <x:v>此前已有</x:v>
      </x:c>
      <x:c r="AH173" s="4" t="n">
        <x:v>46275</x:v>
      </x:c>
      <x:c r="AI173" s="2" t="str">
        <x:v>数据不足</x:v>
      </x:c>
      <x:c r="AJ173" s="2" t="str">
        <x:v>数据不足</x:v>
      </x:c>
      <x:c r="AK173" s="2" t="str">
        <x:v>数据不足</x:v>
      </x:c>
      <x:c r="AL173" s="5" t="n">
        <x:v>-0.0016263468184590363</x:v>
      </x:c>
      <x:c r="AM173" s="5" t="n">
        <x:v>-0.0016263468184590363</x:v>
      </x:c>
      <x:c r="AN173" s="5" t="n">
        <x:v>-0.0014230534661516568</x:v>
      </x:c>
      <x:c r="AO173" s="2" t="str">
        <x:v>C193</x:v>
      </x:c>
      <x:c r="AP173" s="2" t="n">
        <x:v>1</x:v>
      </x:c>
    </x:row>
    <x:row r="174" ht="26" customHeight="1">
      <x:c r="A174" s="2" t="n">
        <x:v>194</x:v>
      </x:c>
      <x:c r="B174" s="4" t="n">
        <x:v>46274</x:v>
      </x:c>
      <x:c r="C174" s="10" t="n">
        <x:v>46274.97922453703</x:v>
      </x:c>
      <x:c r="D174" s="2" t="str">
        <x:v>铝</x:v>
      </x:c>
      <x:c r="E174" s="2" t="str">
        <x:v>AL2610</x:v>
      </x:c>
      <x:c r="F174" s="2" t="str">
        <x:v>苏冰</x:v>
      </x:c>
      <x:c r="G174" s="2" t="str">
        <x:v>15m</x:v>
      </x:c>
      <x:c r="H174" s="2" t="str">
        <x:v>多头</x:v>
      </x:c>
      <x:c r="I174" s="2" t="n">
        <x:v>1</x:v>
      </x:c>
      <x:c r="J174" s="10" t="n">
        <x:v>46274.979166666664</x:v>
      </x:c>
      <x:c r="K174" s="11"/>
      <x:c r="L174" s="10" t="n">
        <x:v>46274.97986111111</x:v>
      </x:c>
      <x:c r="M174" s="11"/>
      <x:c r="N174" s="11"/>
      <x:c r="O174" s="5" t="str">
        <x:f>IF(N174="","",I174*(N174/M174-1))</x:f>
      </x:c>
      <x:c r="P174" s="11"/>
      <x:c r="Q174" s="5" t="str">
        <x:f>IF(P174="","",I174*(P174/M174-1))</x:f>
      </x:c>
      <x:c r="R174" s="11"/>
      <x:c r="S174" s="5" t="str">
        <x:f>IF(R174="","",I174*(R174/M174-1))</x:f>
      </x:c>
      <x:c r="T174" s="2" t="str">
        <x:f>IF(R174="",AK174,IF(S174&gt;0,"有利",IF(S174&lt;0,"不利","持平")))</x:f>
        <x:v>数据不足</x:v>
      </x:c>
      <x:c r="U174" s="5"/>
      <x:c r="V174" s="5"/>
      <x:c r="W174" s="2" t="str">
        <x:v>本次未复算；前次：公式复算数据不足</x:v>
      </x:c>
      <x:c r="X174" s="2" t="str">
        <x:v>逐条结果未留存</x:v>
      </x:c>
      <x:c r="Y174" s="10"/>
      <x:c r="Z174" s="10"/>
      <x:c r="AA174" s="10"/>
      <x:c r="AB174" s="12" t="n">
        <x:v>5.251051</x:v>
      </x:c>
      <x:c r="AC174" s="2" t="str">
        <x:v>subing_ths_alert_15m_v1</x:v>
      </x:c>
      <x:c r="AD174" s="5"/>
      <x:c r="AE174" s="5"/>
      <x:c r="AF174" s="5"/>
      <x:c r="AG174" s="2" t="str">
        <x:v>此前已有</x:v>
      </x:c>
      <x:c r="AH174" s="4" t="n">
        <x:v>46275</x:v>
      </x:c>
      <x:c r="AI174" s="2" t="str">
        <x:v>数据不足</x:v>
      </x:c>
      <x:c r="AJ174" s="2" t="str">
        <x:v>数据不足</x:v>
      </x:c>
      <x:c r="AK174" s="2" t="str">
        <x:v>数据不足</x:v>
      </x:c>
      <x:c r="AL174" s="5" t="n">
        <x:v>0</x:v>
      </x:c>
      <x:c r="AM174" s="5" t="n">
        <x:v>0.00020296326364927948</x:v>
      </x:c>
      <x:c r="AN174" s="5" t="n">
        <x:v>0.00040592652729855896</x:v>
      </x:c>
      <x:c r="AO174" s="2" t="str">
        <x:v>C194</x:v>
      </x:c>
      <x:c r="AP174" s="2" t="n">
        <x:v>1</x:v>
      </x:c>
    </x:row>
    <x:row r="175" ht="26" customHeight="1">
      <x:c r="A175" s="2" t="n">
        <x:v>195</x:v>
      </x:c>
      <x:c r="B175" s="4" t="n">
        <x:v>46274</x:v>
      </x:c>
      <x:c r="C175" s="10" t="n">
        <x:v>46274.97922453703</x:v>
      </x:c>
      <x:c r="D175" s="2" t="str">
        <x:v>黄金</x:v>
      </x:c>
      <x:c r="E175" s="2" t="str">
        <x:v>AU2610</x:v>
      </x:c>
      <x:c r="F175" s="2" t="str">
        <x:v>苏冰</x:v>
      </x:c>
      <x:c r="G175" s="2" t="str">
        <x:v>15m</x:v>
      </x:c>
      <x:c r="H175" s="2" t="str">
        <x:v>空头</x:v>
      </x:c>
      <x:c r="I175" s="2" t="n">
        <x:v>-1</x:v>
      </x:c>
      <x:c r="J175" s="10" t="n">
        <x:v>46274.979166666664</x:v>
      </x:c>
      <x:c r="K175" s="11"/>
      <x:c r="L175" s="10" t="n">
        <x:v>46274.97986111111</x:v>
      </x:c>
      <x:c r="M175" s="11"/>
      <x:c r="N175" s="11"/>
      <x:c r="O175" s="5" t="str">
        <x:f>IF(N175="","",I175*(N175/M175-1))</x:f>
      </x:c>
      <x:c r="P175" s="11"/>
      <x:c r="Q175" s="5" t="str">
        <x:f>IF(P175="","",I175*(P175/M175-1))</x:f>
      </x:c>
      <x:c r="R175" s="11"/>
      <x:c r="S175" s="5" t="str">
        <x:f>IF(R175="","",I175*(R175/M175-1))</x:f>
      </x:c>
      <x:c r="T175" s="2" t="str">
        <x:f>IF(R175="",AK175,IF(S175&gt;0,"有利",IF(S175&lt;0,"不利","持平")))</x:f>
        <x:v>数据不足</x:v>
      </x:c>
      <x:c r="U175" s="5"/>
      <x:c r="V175" s="5"/>
      <x:c r="W175" s="2" t="str">
        <x:v>本次未复算；前次：公式复算数据不足</x:v>
      </x:c>
      <x:c r="X175" s="2" t="str">
        <x:v>逐条结果未留存</x:v>
      </x:c>
      <x:c r="Y175" s="10"/>
      <x:c r="Z175" s="10"/>
      <x:c r="AA175" s="10"/>
      <x:c r="AB175" s="12" t="n">
        <x:v>5.626219</x:v>
      </x:c>
      <x:c r="AC175" s="2" t="str">
        <x:v>subing_ths_alert_15m_v1</x:v>
      </x:c>
      <x:c r="AD175" s="5"/>
      <x:c r="AE175" s="5"/>
      <x:c r="AF175" s="5"/>
      <x:c r="AG175" s="2" t="str">
        <x:v>此前已有</x:v>
      </x:c>
      <x:c r="AH175" s="4" t="n">
        <x:v>46275</x:v>
      </x:c>
      <x:c r="AI175" s="2" t="str">
        <x:v>数据不足</x:v>
      </x:c>
      <x:c r="AJ175" s="2" t="str">
        <x:v>数据不足</x:v>
      </x:c>
      <x:c r="AK175" s="2" t="str">
        <x:v>数据不足</x:v>
      </x:c>
      <x:c r="AL175" s="5" t="n">
        <x:v>-0.0012815933777338907</x:v>
      </x:c>
      <x:c r="AM175" s="5" t="n">
        <x:v>-0.0004832237325881883</x:v>
      </x:c>
      <x:c r="AN175" s="5" t="n">
        <x:v>-0.0007773599176418682</x:v>
      </x:c>
      <x:c r="AO175" s="2" t="str">
        <x:v>C195</x:v>
      </x:c>
      <x:c r="AP175" s="2" t="n">
        <x:v>1</x:v>
      </x:c>
    </x:row>
    <x:row r="176" ht="26" customHeight="1">
      <x:c r="A176" s="2" t="n">
        <x:v>196</x:v>
      </x:c>
      <x:c r="B176" s="4" t="n">
        <x:v>46275</x:v>
      </x:c>
      <x:c r="C176" s="10" t="n">
        <x:v>46275.05212962963</x:v>
      </x:c>
      <x:c r="D176" s="2" t="str">
        <x:v>白银</x:v>
      </x:c>
      <x:c r="E176" s="2" t="str">
        <x:v>AG2610</x:v>
      </x:c>
      <x:c r="F176" s="2" t="str">
        <x:v>苏冰</x:v>
      </x:c>
      <x:c r="G176" s="2" t="str">
        <x:v>15m</x:v>
      </x:c>
      <x:c r="H176" s="2" t="str">
        <x:v>多头</x:v>
      </x:c>
      <x:c r="I176" s="2" t="n">
        <x:v>1</x:v>
      </x:c>
      <x:c r="J176" s="10" t="n">
        <x:v>46275.052083333336</x:v>
      </x:c>
      <x:c r="K176" s="11"/>
      <x:c r="L176" s="10" t="n">
        <x:v>46275.052777777775</x:v>
      </x:c>
      <x:c r="M176" s="11"/>
      <x:c r="N176" s="11"/>
      <x:c r="O176" s="5" t="str">
        <x:f>IF(N176="","",I176*(N176/M176-1))</x:f>
      </x:c>
      <x:c r="P176" s="11"/>
      <x:c r="Q176" s="5" t="str">
        <x:f>IF(P176="","",I176*(P176/M176-1))</x:f>
      </x:c>
      <x:c r="R176" s="11"/>
      <x:c r="S176" s="5" t="str">
        <x:f>IF(R176="","",I176*(R176/M176-1))</x:f>
      </x:c>
      <x:c r="T176" s="2" t="str">
        <x:f>IF(R176="",AK176,IF(S176&gt;0,"有利",IF(S176&lt;0,"不利","持平")))</x:f>
        <x:v>数据不足</x:v>
      </x:c>
      <x:c r="U176" s="5"/>
      <x:c r="V176" s="5"/>
      <x:c r="W176" s="2" t="str">
        <x:v>本次未复算；前次：公式复算数据不足</x:v>
      </x:c>
      <x:c r="X176" s="2" t="str">
        <x:v>逐条结果未留存</x:v>
      </x:c>
      <x:c r="Y176" s="10"/>
      <x:c r="Z176" s="10"/>
      <x:c r="AA176" s="10"/>
      <x:c r="AB176" s="12" t="n">
        <x:v>4.223313</x:v>
      </x:c>
      <x:c r="AC176" s="2" t="str">
        <x:v>subing_ths_alert_15m_v1</x:v>
      </x:c>
      <x:c r="AD176" s="5"/>
      <x:c r="AE176" s="5"/>
      <x:c r="AF176" s="5"/>
      <x:c r="AG176" s="2" t="str">
        <x:v>此前已有</x:v>
      </x:c>
      <x:c r="AH176" s="4" t="n">
        <x:v>46275</x:v>
      </x:c>
      <x:c r="AI176" s="2" t="str">
        <x:v>数据不足</x:v>
      </x:c>
      <x:c r="AJ176" s="2" t="str">
        <x:v>数据不足</x:v>
      </x:c>
      <x:c r="AK176" s="2" t="str">
        <x:v>数据不足</x:v>
      </x:c>
      <x:c r="AL176" s="5" t="n">
        <x:v>-0.0015105740181268882</x:v>
      </x:c>
      <x:c r="AM176" s="5" t="n">
        <x:v>-0.0017522658610271903</x:v>
      </x:c>
      <x:c r="AN176" s="5" t="n">
        <x:v>-0.0015105740181268882</x:v>
      </x:c>
      <x:c r="AO176" s="2" t="str">
        <x:v>C196</x:v>
      </x:c>
      <x:c r="AP176" s="2" t="n">
        <x:v>1</x:v>
      </x:c>
    </x:row>
    <x:row r="177" ht="26" customHeight="1">
      <x:c r="A177" s="2" t="n">
        <x:v>197</x:v>
      </x:c>
      <x:c r="B177" s="4" t="n">
        <x:v>46275</x:v>
      </x:c>
      <x:c r="C177" s="10" t="n">
        <x:v>46275.06253472222</x:v>
      </x:c>
      <x:c r="D177" s="2" t="str">
        <x:v>黄金</x:v>
      </x:c>
      <x:c r="E177" s="2" t="str">
        <x:v>AU2610</x:v>
      </x:c>
      <x:c r="F177" s="2" t="str">
        <x:v>苏冰</x:v>
      </x:c>
      <x:c r="G177" s="2" t="str">
        <x:v>15m</x:v>
      </x:c>
      <x:c r="H177" s="2" t="str">
        <x:v>多头</x:v>
      </x:c>
      <x:c r="I177" s="2" t="n">
        <x:v>1</x:v>
      </x:c>
      <x:c r="J177" s="10" t="n">
        <x:v>46275.0625</x:v>
      </x:c>
      <x:c r="K177" s="11"/>
      <x:c r="L177" s="10" t="n">
        <x:v>46275.06319444445</x:v>
      </x:c>
      <x:c r="M177" s="11"/>
      <x:c r="N177" s="11"/>
      <x:c r="O177" s="5" t="str">
        <x:f>IF(N177="","",I177*(N177/M177-1))</x:f>
      </x:c>
      <x:c r="P177" s="11"/>
      <x:c r="Q177" s="5" t="str">
        <x:f>IF(P177="","",I177*(P177/M177-1))</x:f>
      </x:c>
      <x:c r="R177" s="11"/>
      <x:c r="S177" s="5" t="str">
        <x:f>IF(R177="","",I177*(R177/M177-1))</x:f>
      </x:c>
      <x:c r="T177" s="2" t="str">
        <x:f>IF(R177="",AK177,IF(S177&gt;0,"有利",IF(S177&lt;0,"不利","持平")))</x:f>
        <x:v>数据不足</x:v>
      </x:c>
      <x:c r="U177" s="5"/>
      <x:c r="V177" s="5"/>
      <x:c r="W177" s="2" t="str">
        <x:v>本次未复算；前次：公式复算数据不足</x:v>
      </x:c>
      <x:c r="X177" s="2" t="str">
        <x:v>逐条结果未留存</x:v>
      </x:c>
      <x:c r="Y177" s="10"/>
      <x:c r="Z177" s="10"/>
      <x:c r="AA177" s="10"/>
      <x:c r="AB177" s="12" t="n">
        <x:v>3.623534</x:v>
      </x:c>
      <x:c r="AC177" s="2" t="str">
        <x:v>subing_ths_alert_15m_v1</x:v>
      </x:c>
      <x:c r="AD177" s="5"/>
      <x:c r="AE177" s="5"/>
      <x:c r="AF177" s="5"/>
      <x:c r="AG177" s="2" t="str">
        <x:v>此前已有</x:v>
      </x:c>
      <x:c r="AH177" s="4" t="n">
        <x:v>46275</x:v>
      </x:c>
      <x:c r="AI177" s="2" t="str">
        <x:v>数据不足</x:v>
      </x:c>
      <x:c r="AJ177" s="2" t="str">
        <x:v>数据不足</x:v>
      </x:c>
      <x:c r="AK177" s="2" t="str">
        <x:v>数据不足</x:v>
      </x:c>
      <x:c r="AL177" s="5" t="n">
        <x:v>0.00006279040562602035</x:v>
      </x:c>
      <x:c r="AM177" s="5" t="n">
        <x:v>0.0008790656787642849</x:v>
      </x:c>
      <x:c r="AN177" s="5" t="n">
        <x:v>-0.001402319058981121</x:v>
      </x:c>
      <x:c r="AO177" s="2" t="str">
        <x:v>C197</x:v>
      </x:c>
      <x:c r="AP177" s="2" t="n">
        <x:v>1</x:v>
      </x:c>
    </x:row>
    <x:row r="178" ht="26" customHeight="1">
      <x:c r="A178" s="2" t="n">
        <x:v>198</x:v>
      </x:c>
      <x:c r="B178" s="4" t="n">
        <x:v>46275</x:v>
      </x:c>
      <x:c r="C178" s="10" t="n">
        <x:v>46275.385462962964</x:v>
      </x:c>
      <x:c r="D178" s="2" t="str">
        <x:v>纯碱</x:v>
      </x:c>
      <x:c r="E178" s="2" t="str">
        <x:v>SA2701</x:v>
      </x:c>
      <x:c r="F178" s="2" t="str">
        <x:v>苏冰</x:v>
      </x:c>
      <x:c r="G178" s="2" t="str">
        <x:v>15m</x:v>
      </x:c>
      <x:c r="H178" s="2" t="str">
        <x:v>多头</x:v>
      </x:c>
      <x:c r="I178" s="2" t="n">
        <x:v>1</x:v>
      </x:c>
      <x:c r="J178" s="10" t="n">
        <x:v>46275.385416666664</x:v>
      </x:c>
      <x:c r="K178" s="11"/>
      <x:c r="L178" s="10" t="n">
        <x:v>46275.38611111111</x:v>
      </x:c>
      <x:c r="M178" s="11"/>
      <x:c r="N178" s="11"/>
      <x:c r="O178" s="5" t="str">
        <x:f>IF(N178="","",I178*(N178/M178-1))</x:f>
      </x:c>
      <x:c r="P178" s="11"/>
      <x:c r="Q178" s="5" t="str">
        <x:f>IF(P178="","",I178*(P178/M178-1))</x:f>
      </x:c>
      <x:c r="R178" s="11"/>
      <x:c r="S178" s="5" t="str">
        <x:f>IF(R178="","",I178*(R178/M178-1))</x:f>
      </x:c>
      <x:c r="T178" s="2" t="str">
        <x:f>IF(R178="",AK178,IF(S178&gt;0,"有利",IF(S178&lt;0,"不利","持平")))</x:f>
        <x:v>数据不足</x:v>
      </x:c>
      <x:c r="U178" s="5"/>
      <x:c r="V178" s="5"/>
      <x:c r="W178" s="2" t="str">
        <x:v>本次未复算；前次：公式复算数据不足</x:v>
      </x:c>
      <x:c r="X178" s="2" t="str">
        <x:v>逐条结果未留存</x:v>
      </x:c>
      <x:c r="Y178" s="10"/>
      <x:c r="Z178" s="10"/>
      <x:c r="AA178" s="10"/>
      <x:c r="AB178" s="12" t="n">
        <x:v>4.471412</x:v>
      </x:c>
      <x:c r="AC178" s="2" t="str">
        <x:v>subing_ths_alert_15m_v1</x:v>
      </x:c>
      <x:c r="AD178" s="5"/>
      <x:c r="AE178" s="5"/>
      <x:c r="AF178" s="5"/>
      <x:c r="AG178" s="2" t="str">
        <x:v>此前已有</x:v>
      </x:c>
      <x:c r="AH178" s="4" t="n">
        <x:v>46275</x:v>
      </x:c>
      <x:c r="AI178" s="2" t="str">
        <x:v>数据不足</x:v>
      </x:c>
      <x:c r="AJ178" s="2" t="str">
        <x:v>数据不足</x:v>
      </x:c>
      <x:c r="AK178" s="2" t="str">
        <x:v>数据不足</x:v>
      </x:c>
      <x:c r="AL178" s="5" t="n">
        <x:v>-0.003727865796831314</x:v>
      </x:c>
      <x:c r="AM178" s="5" t="n">
        <x:v>-0.0009319664492078285</x:v>
      </x:c>
      <x:c r="AN178" s="5" t="n">
        <x:v>0.004659832246039142</x:v>
      </x:c>
      <x:c r="AO178" s="2" t="str">
        <x:v>C198</x:v>
      </x:c>
      <x:c r="AP178" s="2" t="n">
        <x:v>1</x:v>
      </x:c>
    </x:row>
    <x:row r="179" ht="26" customHeight="1">
      <x:c r="A179" s="2" t="n">
        <x:v>199</x:v>
      </x:c>
      <x:c r="B179" s="4" t="n">
        <x:v>46275</x:v>
      </x:c>
      <x:c r="C179" s="10" t="n">
        <x:v>46275.385462962964</x:v>
      </x:c>
      <x:c r="D179" s="2" t="str">
        <x:v>烧碱</x:v>
      </x:c>
      <x:c r="E179" s="2" t="str">
        <x:v>SH2611</x:v>
      </x:c>
      <x:c r="F179" s="2" t="str">
        <x:v>苏冰</x:v>
      </x:c>
      <x:c r="G179" s="2" t="str">
        <x:v>15m</x:v>
      </x:c>
      <x:c r="H179" s="2" t="str">
        <x:v>多头</x:v>
      </x:c>
      <x:c r="I179" s="2" t="n">
        <x:v>1</x:v>
      </x:c>
      <x:c r="J179" s="10" t="n">
        <x:v>46275.385416666664</x:v>
      </x:c>
      <x:c r="K179" s="11"/>
      <x:c r="L179" s="10" t="n">
        <x:v>46275.38611111111</x:v>
      </x:c>
      <x:c r="M179" s="11"/>
      <x:c r="N179" s="11"/>
      <x:c r="O179" s="5" t="str">
        <x:f>IF(N179="","",I179*(N179/M179-1))</x:f>
      </x:c>
      <x:c r="P179" s="11"/>
      <x:c r="Q179" s="5" t="str">
        <x:f>IF(P179="","",I179*(P179/M179-1))</x:f>
      </x:c>
      <x:c r="R179" s="11"/>
      <x:c r="S179" s="5" t="str">
        <x:f>IF(R179="","",I179*(R179/M179-1))</x:f>
      </x:c>
      <x:c r="T179" s="2" t="str">
        <x:f>IF(R179="",AK179,IF(S179&gt;0,"有利",IF(S179&lt;0,"不利","持平")))</x:f>
        <x:v>数据不足</x:v>
      </x:c>
      <x:c r="U179" s="5"/>
      <x:c r="V179" s="5"/>
      <x:c r="W179" s="2" t="str">
        <x:v>本次未复算；前次：公式复算数据不足</x:v>
      </x:c>
      <x:c r="X179" s="2" t="str">
        <x:v>逐条结果未留存</x:v>
      </x:c>
      <x:c r="Y179" s="10"/>
      <x:c r="Z179" s="10"/>
      <x:c r="AA179" s="10"/>
      <x:c r="AB179" s="12" t="n">
        <x:v>4.761437</x:v>
      </x:c>
      <x:c r="AC179" s="2" t="str">
        <x:v>subing_ths_alert_15m_v1</x:v>
      </x:c>
      <x:c r="AD179" s="5"/>
      <x:c r="AE179" s="5"/>
      <x:c r="AF179" s="5"/>
      <x:c r="AG179" s="2" t="str">
        <x:v>此前已有</x:v>
      </x:c>
      <x:c r="AH179" s="4" t="n">
        <x:v>46275</x:v>
      </x:c>
      <x:c r="AI179" s="2" t="str">
        <x:v>数据不足</x:v>
      </x:c>
      <x:c r="AJ179" s="2" t="str">
        <x:v>数据不足</x:v>
      </x:c>
      <x:c r="AK179" s="2" t="str">
        <x:v>数据不足</x:v>
      </x:c>
      <x:c r="AL179" s="5" t="n">
        <x:v>0.00404040404040404</x:v>
      </x:c>
      <x:c r="AM179" s="5" t="n">
        <x:v>0.014141414141414142</x:v>
      </x:c>
      <x:c r="AN179" s="5" t="n">
        <x:v>0.014646464646464647</x:v>
      </x:c>
      <x:c r="AO179" s="2" t="str">
        <x:v>C199</x:v>
      </x:c>
      <x:c r="AP179" s="2" t="n">
        <x:v>1</x:v>
      </x:c>
    </x:row>
    <x:row r="180" ht="26" customHeight="1">
      <x:c r="A180" s="2" t="n">
        <x:v>200</x:v>
      </x:c>
      <x:c r="B180" s="4" t="n">
        <x:v>46275</x:v>
      </x:c>
      <x:c r="C180" s="10" t="n">
        <x:v>46275.38547453703</x:v>
      </x:c>
      <x:c r="D180" s="2" t="str">
        <x:v>pta</x:v>
      </x:c>
      <x:c r="E180" s="2" t="str">
        <x:v>TA2701</x:v>
      </x:c>
      <x:c r="F180" s="2" t="str">
        <x:v>苏冰</x:v>
      </x:c>
      <x:c r="G180" s="2" t="str">
        <x:v>15m</x:v>
      </x:c>
      <x:c r="H180" s="2" t="str">
        <x:v>多头</x:v>
      </x:c>
      <x:c r="I180" s="2" t="n">
        <x:v>1</x:v>
      </x:c>
      <x:c r="J180" s="10" t="n">
        <x:v>46275.385416666664</x:v>
      </x:c>
      <x:c r="K180" s="11"/>
      <x:c r="L180" s="10" t="n">
        <x:v>46275.38611111111</x:v>
      </x:c>
      <x:c r="M180" s="11"/>
      <x:c r="N180" s="11"/>
      <x:c r="O180" s="5" t="str">
        <x:f>IF(N180="","",I180*(N180/M180-1))</x:f>
      </x:c>
      <x:c r="P180" s="11"/>
      <x:c r="Q180" s="5" t="str">
        <x:f>IF(P180="","",I180*(P180/M180-1))</x:f>
      </x:c>
      <x:c r="R180" s="11"/>
      <x:c r="S180" s="5" t="str">
        <x:f>IF(R180="","",I180*(R180/M180-1))</x:f>
      </x:c>
      <x:c r="T180" s="2" t="str">
        <x:f>IF(R180="",AK180,IF(S180&gt;0,"有利",IF(S180&lt;0,"不利","持平")))</x:f>
        <x:v>数据不足</x:v>
      </x:c>
      <x:c r="U180" s="5"/>
      <x:c r="V180" s="5"/>
      <x:c r="W180" s="2" t="str">
        <x:v>本次未复算；前次：公式复算数据不足</x:v>
      </x:c>
      <x:c r="X180" s="2" t="str">
        <x:v>逐条结果未留存</x:v>
      </x:c>
      <x:c r="Y180" s="10"/>
      <x:c r="Z180" s="10"/>
      <x:c r="AA180" s="10"/>
      <x:c r="AB180" s="12" t="n">
        <x:v>5.386483</x:v>
      </x:c>
      <x:c r="AC180" s="2" t="str">
        <x:v>subing_ths_alert_15m_v1</x:v>
      </x:c>
      <x:c r="AD180" s="5"/>
      <x:c r="AE180" s="5"/>
      <x:c r="AF180" s="5"/>
      <x:c r="AG180" s="2" t="str">
        <x:v>此前已有</x:v>
      </x:c>
      <x:c r="AH180" s="4" t="n">
        <x:v>46275</x:v>
      </x:c>
      <x:c r="AI180" s="2" t="str">
        <x:v>数据不足</x:v>
      </x:c>
      <x:c r="AJ180" s="2" t="str">
        <x:v>数据不足</x:v>
      </x:c>
      <x:c r="AK180" s="2" t="str">
        <x:v>数据不足</x:v>
      </x:c>
      <x:c r="AL180" s="5" t="n">
        <x:v>0.002867155144950621</x:v>
      </x:c>
      <x:c r="AM180" s="5" t="n">
        <x:v>0.003822873526600828</x:v>
      </x:c>
      <x:c r="AN180" s="5" t="n">
        <x:v>0</x:v>
      </x:c>
      <x:c r="AO180" s="2" t="str">
        <x:v>C200</x:v>
      </x:c>
      <x:c r="AP180" s="2" t="n">
        <x:v>1</x:v>
      </x:c>
    </x:row>
    <x:row r="181" ht="26" customHeight="1">
      <x:c r="A181" s="2" t="n">
        <x:v>201</x:v>
      </x:c>
      <x:c r="B181" s="4" t="n">
        <x:v>46275</x:v>
      </x:c>
      <x:c r="C181" s="10" t="n">
        <x:v>46275.38547453703</x:v>
      </x:c>
      <x:c r="D181" s="2" t="str">
        <x:v>白银</x:v>
      </x:c>
      <x:c r="E181" s="2" t="str">
        <x:v>AG2610</x:v>
      </x:c>
      <x:c r="F181" s="2" t="str">
        <x:v>苏冰</x:v>
      </x:c>
      <x:c r="G181" s="2" t="str">
        <x:v>15m</x:v>
      </x:c>
      <x:c r="H181" s="2" t="str">
        <x:v>空头</x:v>
      </x:c>
      <x:c r="I181" s="2" t="n">
        <x:v>-1</x:v>
      </x:c>
      <x:c r="J181" s="10" t="n">
        <x:v>46275.385416666664</x:v>
      </x:c>
      <x:c r="K181" s="11"/>
      <x:c r="L181" s="10" t="n">
        <x:v>46275.38611111111</x:v>
      </x:c>
      <x:c r="M181" s="11"/>
      <x:c r="N181" s="11"/>
      <x:c r="O181" s="5" t="str">
        <x:f>IF(N181="","",I181*(N181/M181-1))</x:f>
      </x:c>
      <x:c r="P181" s="11"/>
      <x:c r="Q181" s="5" t="str">
        <x:f>IF(P181="","",I181*(P181/M181-1))</x:f>
      </x:c>
      <x:c r="R181" s="11"/>
      <x:c r="S181" s="5" t="str">
        <x:f>IF(R181="","",I181*(R181/M181-1))</x:f>
      </x:c>
      <x:c r="T181" s="2" t="str">
        <x:f>IF(R181="",AK181,IF(S181&gt;0,"有利",IF(S181&lt;0,"不利","持平")))</x:f>
        <x:v>数据不足</x:v>
      </x:c>
      <x:c r="U181" s="5"/>
      <x:c r="V181" s="5"/>
      <x:c r="W181" s="2" t="str">
        <x:v>本次未复算；前次：公式复算数据不足</x:v>
      </x:c>
      <x:c r="X181" s="2" t="str">
        <x:v>逐条结果未留存</x:v>
      </x:c>
      <x:c r="Y181" s="10"/>
      <x:c r="Z181" s="10"/>
      <x:c r="AA181" s="10"/>
      <x:c r="AB181" s="12" t="n">
        <x:v>5.818598</x:v>
      </x:c>
      <x:c r="AC181" s="2" t="str">
        <x:v>subing_ths_alert_15m_v1</x:v>
      </x:c>
      <x:c r="AD181" s="5"/>
      <x:c r="AE181" s="5"/>
      <x:c r="AF181" s="5"/>
      <x:c r="AG181" s="2" t="str">
        <x:v>此前已有</x:v>
      </x:c>
      <x:c r="AH181" s="4" t="n">
        <x:v>46275</x:v>
      </x:c>
      <x:c r="AI181" s="2" t="str">
        <x:v>数据不足</x:v>
      </x:c>
      <x:c r="AJ181" s="2" t="str">
        <x:v>数据不足</x:v>
      </x:c>
      <x:c r="AK181" s="2" t="str">
        <x:v>数据不足</x:v>
      </x:c>
      <x:c r="AL181" s="5" t="n">
        <x:v>0.002862711657936411</x:v>
      </x:c>
      <x:c r="AM181" s="5" t="n">
        <x:v>0.0020708977951029357</x:v>
      </x:c>
      <x:c r="AN181" s="5" t="n">
        <x:v>0.0008527226215129736</x:v>
      </x:c>
      <x:c r="AO181" s="2" t="str">
        <x:v>C201</x:v>
      </x:c>
      <x:c r="AP181" s="2" t="n">
        <x:v>1</x:v>
      </x:c>
    </x:row>
    <x:row r="182" ht="26" customHeight="1">
      <x:c r="A182" s="2" t="n">
        <x:v>202</x:v>
      </x:c>
      <x:c r="B182" s="4" t="n">
        <x:v>46275</x:v>
      </x:c>
      <x:c r="C182" s="10" t="n">
        <x:v>46275.38552083333</x:v>
      </x:c>
      <x:c r="D182" s="2" t="str">
        <x:v>液化石油气</x:v>
      </x:c>
      <x:c r="E182" s="2" t="str">
        <x:v>PG2610</x:v>
      </x:c>
      <x:c r="F182" s="2" t="str">
        <x:v>苏冰</x:v>
      </x:c>
      <x:c r="G182" s="2" t="str">
        <x:v>15m</x:v>
      </x:c>
      <x:c r="H182" s="2" t="str">
        <x:v>多头</x:v>
      </x:c>
      <x:c r="I182" s="2" t="n">
        <x:v>1</x:v>
      </x:c>
      <x:c r="J182" s="10" t="n">
        <x:v>46275.385416666664</x:v>
      </x:c>
      <x:c r="K182" s="11"/>
      <x:c r="L182" s="10" t="n">
        <x:v>46275.38611111111</x:v>
      </x:c>
      <x:c r="M182" s="11"/>
      <x:c r="N182" s="11"/>
      <x:c r="O182" s="5" t="str">
        <x:f>IF(N182="","",I182*(N182/M182-1))</x:f>
      </x:c>
      <x:c r="P182" s="11"/>
      <x:c r="Q182" s="5" t="str">
        <x:f>IF(P182="","",I182*(P182/M182-1))</x:f>
      </x:c>
      <x:c r="R182" s="11"/>
      <x:c r="S182" s="5" t="str">
        <x:f>IF(R182="","",I182*(R182/M182-1))</x:f>
      </x:c>
      <x:c r="T182" s="2" t="str">
        <x:f>IF(R182="",AK182,IF(S182&gt;0,"有利",IF(S182&lt;0,"不利","持平")))</x:f>
        <x:v>数据不足</x:v>
      </x:c>
      <x:c r="U182" s="5"/>
      <x:c r="V182" s="5"/>
      <x:c r="W182" s="2" t="str">
        <x:v>本次未复算；前次：公式复算数据不足</x:v>
      </x:c>
      <x:c r="X182" s="2" t="str">
        <x:v>逐条结果未留存</x:v>
      </x:c>
      <x:c r="Y182" s="10"/>
      <x:c r="Z182" s="10"/>
      <x:c r="AA182" s="10"/>
      <x:c r="AB182" s="12" t="n">
        <x:v>9.403085</x:v>
      </x:c>
      <x:c r="AC182" s="2" t="str">
        <x:v>subing_ths_alert_15m_v1</x:v>
      </x:c>
      <x:c r="AD182" s="5"/>
      <x:c r="AE182" s="5"/>
      <x:c r="AF182" s="5"/>
      <x:c r="AG182" s="2" t="str">
        <x:v>此前已有</x:v>
      </x:c>
      <x:c r="AH182" s="4" t="n">
        <x:v>46275</x:v>
      </x:c>
      <x:c r="AI182" s="2" t="str">
        <x:v>数据不足</x:v>
      </x:c>
      <x:c r="AJ182" s="2" t="str">
        <x:v>数据不足</x:v>
      </x:c>
      <x:c r="AK182" s="2" t="str">
        <x:v>数据不足</x:v>
      </x:c>
      <x:c r="AL182" s="5" t="n">
        <x:v>0.007319173363949483</x:v>
      </x:c>
      <x:c r="AM182" s="5" t="n">
        <x:v>0.003587830080367394</x:v>
      </x:c>
      <x:c r="AN182" s="5" t="n">
        <x:v>-0.0057405281285878304</x:v>
      </x:c>
      <x:c r="AO182" s="2" t="str">
        <x:v>C202</x:v>
      </x:c>
      <x:c r="AP182" s="2" t="n">
        <x:v>1</x:v>
      </x:c>
    </x:row>
    <x:row r="183" ht="26" customHeight="1">
      <x:c r="A183" s="2" t="n">
        <x:v>203</x:v>
      </x:c>
      <x:c r="B183" s="4" t="n">
        <x:v>46275</x:v>
      </x:c>
      <x:c r="C183" s="10" t="n">
        <x:v>46275.38552083333</x:v>
      </x:c>
      <x:c r="D183" s="2" t="str">
        <x:v>pvc</x:v>
      </x:c>
      <x:c r="E183" s="2" t="str">
        <x:v>V2701</x:v>
      </x:c>
      <x:c r="F183" s="2" t="str">
        <x:v>苏冰</x:v>
      </x:c>
      <x:c r="G183" s="2" t="str">
        <x:v>15m</x:v>
      </x:c>
      <x:c r="H183" s="2" t="str">
        <x:v>多头</x:v>
      </x:c>
      <x:c r="I183" s="2" t="n">
        <x:v>1</x:v>
      </x:c>
      <x:c r="J183" s="10" t="n">
        <x:v>46275.385416666664</x:v>
      </x:c>
      <x:c r="K183" s="11"/>
      <x:c r="L183" s="10" t="n">
        <x:v>46275.38611111111</x:v>
      </x:c>
      <x:c r="M183" s="11"/>
      <x:c r="N183" s="11"/>
      <x:c r="O183" s="5" t="str">
        <x:f>IF(N183="","",I183*(N183/M183-1))</x:f>
      </x:c>
      <x:c r="P183" s="11"/>
      <x:c r="Q183" s="5" t="str">
        <x:f>IF(P183="","",I183*(P183/M183-1))</x:f>
      </x:c>
      <x:c r="R183" s="11"/>
      <x:c r="S183" s="5" t="str">
        <x:f>IF(R183="","",I183*(R183/M183-1))</x:f>
      </x:c>
      <x:c r="T183" s="2" t="str">
        <x:f>IF(R183="",AK183,IF(S183&gt;0,"有利",IF(S183&lt;0,"不利","持平")))</x:f>
        <x:v>数据不足</x:v>
      </x:c>
      <x:c r="U183" s="5"/>
      <x:c r="V183" s="5"/>
      <x:c r="W183" s="2" t="str">
        <x:v>本次未复算；前次：公式复算数据不足</x:v>
      </x:c>
      <x:c r="X183" s="2" t="str">
        <x:v>逐条结果未留存</x:v>
      </x:c>
      <x:c r="Y183" s="10"/>
      <x:c r="Z183" s="10"/>
      <x:c r="AA183" s="10"/>
      <x:c r="AB183" s="12" t="n">
        <x:v>9.712756</x:v>
      </x:c>
      <x:c r="AC183" s="2" t="str">
        <x:v>subing_ths_alert_15m_v1</x:v>
      </x:c>
      <x:c r="AD183" s="5"/>
      <x:c r="AE183" s="5"/>
      <x:c r="AF183" s="5"/>
      <x:c r="AG183" s="2" t="str">
        <x:v>此前已有</x:v>
      </x:c>
      <x:c r="AH183" s="4" t="n">
        <x:v>46275</x:v>
      </x:c>
      <x:c r="AI183" s="2" t="str">
        <x:v>数据不足</x:v>
      </x:c>
      <x:c r="AJ183" s="2" t="str">
        <x:v>数据不足</x:v>
      </x:c>
      <x:c r="AK183" s="2" t="str">
        <x:v>数据不足</x:v>
      </x:c>
      <x:c r="AL183" s="5" t="n">
        <x:v>0.003325508607198748</x:v>
      </x:c>
      <x:c r="AM183" s="5" t="n">
        <x:v>0.010172143974960876</x:v>
      </x:c>
      <x:c r="AN183" s="5" t="n">
        <x:v>-0.004303599374021909</x:v>
      </x:c>
      <x:c r="AO183" s="2" t="str">
        <x:v>C203</x:v>
      </x:c>
      <x:c r="AP183" s="2" t="n">
        <x:v>1</x:v>
      </x:c>
    </x:row>
    <x:row r="184" ht="26" customHeight="1">
      <x:c r="A184" s="2" t="n">
        <x:v>204</x:v>
      </x:c>
      <x:c r="B184" s="4" t="n">
        <x:v>46275</x:v>
      </x:c>
      <x:c r="C184" s="10" t="n">
        <x:v>46275.38553240741</x:v>
      </x:c>
      <x:c r="D184" s="2" t="str">
        <x:v>红枣</x:v>
      </x:c>
      <x:c r="E184" s="2" t="str">
        <x:v>CJ2701</x:v>
      </x:c>
      <x:c r="F184" s="2" t="str">
        <x:v>苏冰</x:v>
      </x:c>
      <x:c r="G184" s="2" t="str">
        <x:v>15m</x:v>
      </x:c>
      <x:c r="H184" s="2" t="str">
        <x:v>空头</x:v>
      </x:c>
      <x:c r="I184" s="2" t="n">
        <x:v>-1</x:v>
      </x:c>
      <x:c r="J184" s="10" t="n">
        <x:v>46275.385416666664</x:v>
      </x:c>
      <x:c r="K184" s="11"/>
      <x:c r="L184" s="10" t="n">
        <x:v>46275.38611111111</x:v>
      </x:c>
      <x:c r="M184" s="11"/>
      <x:c r="N184" s="11"/>
      <x:c r="O184" s="5" t="str">
        <x:f>IF(N184="","",I184*(N184/M184-1))</x:f>
      </x:c>
      <x:c r="P184" s="11"/>
      <x:c r="Q184" s="5" t="str">
        <x:f>IF(P184="","",I184*(P184/M184-1))</x:f>
      </x:c>
      <x:c r="R184" s="11"/>
      <x:c r="S184" s="5" t="str">
        <x:f>IF(R184="","",I184*(R184/M184-1))</x:f>
      </x:c>
      <x:c r="T184" s="2" t="str">
        <x:f>IF(R184="",AK184,IF(S184&gt;0,"有利",IF(S184&lt;0,"不利","持平")))</x:f>
        <x:v>数据不足</x:v>
      </x:c>
      <x:c r="U184" s="5"/>
      <x:c r="V184" s="5"/>
      <x:c r="W184" s="2" t="str">
        <x:v>本次未复算；前次：公式复算数据不足</x:v>
      </x:c>
      <x:c r="X184" s="2" t="str">
        <x:v>逐条结果未留存</x:v>
      </x:c>
      <x:c r="Y184" s="10"/>
      <x:c r="Z184" s="10"/>
      <x:c r="AA184" s="10"/>
      <x:c r="AB184" s="12" t="n">
        <x:v>10.675592</x:v>
      </x:c>
      <x:c r="AC184" s="2" t="str">
        <x:v>subing_ths_alert_15m_v1</x:v>
      </x:c>
      <x:c r="AD184" s="5"/>
      <x:c r="AE184" s="5"/>
      <x:c r="AF184" s="5"/>
      <x:c r="AG184" s="2" t="str">
        <x:v>此前已有</x:v>
      </x:c>
      <x:c r="AH184" s="4" t="n">
        <x:v>46275</x:v>
      </x:c>
      <x:c r="AI184" s="2" t="str">
        <x:v>数据不足</x:v>
      </x:c>
      <x:c r="AJ184" s="2" t="str">
        <x:v>数据不足</x:v>
      </x:c>
      <x:c r="AK184" s="2" t="str">
        <x:v>数据不足</x:v>
      </x:c>
      <x:c r="AL184" s="5" t="n">
        <x:v>0.0038095238095238095</x:v>
      </x:c>
      <x:c r="AM184" s="5" t="n">
        <x:v>0.0025396825396825397</x:v>
      </x:c>
      <x:c r="AN184" s="5" t="n">
        <x:v>-0.0006349206349206349</x:v>
      </x:c>
      <x:c r="AO184" s="2" t="str">
        <x:v>C204</x:v>
      </x:c>
      <x:c r="AP184" s="2" t="n">
        <x:v>1</x:v>
      </x:c>
    </x:row>
    <x:row r="185" ht="26" customHeight="1">
      <x:c r="A185" s="2" t="n">
        <x:v>205</x:v>
      </x:c>
      <x:c r="B185" s="4" t="n">
        <x:v>46275</x:v>
      </x:c>
      <x:c r="C185" s="10" t="n">
        <x:v>46275.38553240741</x:v>
      </x:c>
      <x:c r="D185" s="2" t="str">
        <x:v>硅铁</x:v>
      </x:c>
      <x:c r="E185" s="2" t="str">
        <x:v>SF2611</x:v>
      </x:c>
      <x:c r="F185" s="2" t="str">
        <x:v>苏冰</x:v>
      </x:c>
      <x:c r="G185" s="2" t="str">
        <x:v>15m</x:v>
      </x:c>
      <x:c r="H185" s="2" t="str">
        <x:v>空头</x:v>
      </x:c>
      <x:c r="I185" s="2" t="n">
        <x:v>-1</x:v>
      </x:c>
      <x:c r="J185" s="10" t="n">
        <x:v>46275.385416666664</x:v>
      </x:c>
      <x:c r="K185" s="11"/>
      <x:c r="L185" s="10" t="n">
        <x:v>46275.38611111111</x:v>
      </x:c>
      <x:c r="M185" s="11"/>
      <x:c r="N185" s="11"/>
      <x:c r="O185" s="5" t="str">
        <x:f>IF(N185="","",I185*(N185/M185-1))</x:f>
      </x:c>
      <x:c r="P185" s="11"/>
      <x:c r="Q185" s="5" t="str">
        <x:f>IF(P185="","",I185*(P185/M185-1))</x:f>
      </x:c>
      <x:c r="R185" s="11"/>
      <x:c r="S185" s="5" t="str">
        <x:f>IF(R185="","",I185*(R185/M185-1))</x:f>
      </x:c>
      <x:c r="T185" s="2" t="str">
        <x:f>IF(R185="",AK185,IF(S185&gt;0,"有利",IF(S185&lt;0,"不利","持平")))</x:f>
        <x:v>数据不足</x:v>
      </x:c>
      <x:c r="U185" s="5"/>
      <x:c r="V185" s="5"/>
      <x:c r="W185" s="2" t="str">
        <x:v>本次未复算；前次：公式复算数据不足</x:v>
      </x:c>
      <x:c r="X185" s="2" t="str">
        <x:v>逐条结果未留存</x:v>
      </x:c>
      <x:c r="Y185" s="10"/>
      <x:c r="Z185" s="10"/>
      <x:c r="AA185" s="10"/>
      <x:c r="AB185" s="12" t="n">
        <x:v>10.963173</x:v>
      </x:c>
      <x:c r="AC185" s="2" t="str">
        <x:v>subing_ths_alert_15m_v1</x:v>
      </x:c>
      <x:c r="AD185" s="5"/>
      <x:c r="AE185" s="5"/>
      <x:c r="AF185" s="5"/>
      <x:c r="AG185" s="2" t="str">
        <x:v>此前已有</x:v>
      </x:c>
      <x:c r="AH185" s="4" t="n">
        <x:v>46275</x:v>
      </x:c>
      <x:c r="AI185" s="2" t="str">
        <x:v>数据不足</x:v>
      </x:c>
      <x:c r="AJ185" s="2" t="str">
        <x:v>数据不足</x:v>
      </x:c>
      <x:c r="AK185" s="2" t="str">
        <x:v>数据不足</x:v>
      </x:c>
      <x:c r="AL185" s="5" t="n">
        <x:v>-0.0016170763260025874</x:v>
      </x:c>
      <x:c r="AM185" s="5" t="n">
        <x:v>-0.002263906856403622</x:v>
      </x:c>
      <x:c r="AN185" s="5" t="n">
        <x:v>-0.004527813712807244</x:v>
      </x:c>
      <x:c r="AO185" s="2" t="str">
        <x:v>C205</x:v>
      </x:c>
      <x:c r="AP185" s="2" t="n">
        <x:v>1</x:v>
      </x:c>
    </x:row>
    <x:row r="186" ht="26" customHeight="1">
      <x:c r="A186" s="2" t="n">
        <x:v>206</x:v>
      </x:c>
      <x:c r="B186" s="4" t="n">
        <x:v>46275</x:v>
      </x:c>
      <x:c r="C186" s="10" t="n">
        <x:v>46275.38554398148</x:v>
      </x:c>
      <x:c r="D186" s="2" t="str">
        <x:v>集运欧线</x:v>
      </x:c>
      <x:c r="E186" s="2" t="str">
        <x:v>EC2610</x:v>
      </x:c>
      <x:c r="F186" s="2" t="str">
        <x:v>苏冰</x:v>
      </x:c>
      <x:c r="G186" s="2" t="str">
        <x:v>15m</x:v>
      </x:c>
      <x:c r="H186" s="2" t="str">
        <x:v>多头</x:v>
      </x:c>
      <x:c r="I186" s="2" t="n">
        <x:v>1</x:v>
      </x:c>
      <x:c r="J186" s="10" t="n">
        <x:v>46275.385416666664</x:v>
      </x:c>
      <x:c r="K186" s="11"/>
      <x:c r="L186" s="10" t="n">
        <x:v>46275.38611111111</x:v>
      </x:c>
      <x:c r="M186" s="11"/>
      <x:c r="N186" s="11"/>
      <x:c r="O186" s="5" t="str">
        <x:f>IF(N186="","",I186*(N186/M186-1))</x:f>
      </x:c>
      <x:c r="P186" s="11"/>
      <x:c r="Q186" s="5" t="str">
        <x:f>IF(P186="","",I186*(P186/M186-1))</x:f>
      </x:c>
      <x:c r="R186" s="11"/>
      <x:c r="S186" s="5" t="str">
        <x:f>IF(R186="","",I186*(R186/M186-1))</x:f>
      </x:c>
      <x:c r="T186" s="2" t="str">
        <x:f>IF(R186="",AK186,IF(S186&gt;0,"有利",IF(S186&lt;0,"不利","持平")))</x:f>
        <x:v>数据不足</x:v>
      </x:c>
      <x:c r="U186" s="5"/>
      <x:c r="V186" s="5"/>
      <x:c r="W186" s="2" t="str">
        <x:v>本次未复算；前次：公式复算数据不足</x:v>
      </x:c>
      <x:c r="X186" s="2" t="str">
        <x:v>transport_failed</x:v>
      </x:c>
      <x:c r="Y186" s="10"/>
      <x:c r="Z186" s="10"/>
      <x:c r="AA186" s="10"/>
      <x:c r="AB186" s="12" t="n">
        <x:v>11.349032</x:v>
      </x:c>
      <x:c r="AC186" s="2" t="str">
        <x:v>subing_ths_alert_15m_v1</x:v>
      </x:c>
      <x:c r="AD186" s="5"/>
      <x:c r="AE186" s="5"/>
      <x:c r="AF186" s="5"/>
      <x:c r="AG186" s="2" t="str">
        <x:v>此前已有</x:v>
      </x:c>
      <x:c r="AH186" s="4" t="n">
        <x:v>46275</x:v>
      </x:c>
      <x:c r="AI186" s="2" t="str">
        <x:v>数据不足</x:v>
      </x:c>
      <x:c r="AJ186" s="2" t="str">
        <x:v>数据不足</x:v>
      </x:c>
      <x:c r="AK186" s="2" t="str">
        <x:v>数据不足</x:v>
      </x:c>
      <x:c r="AL186" s="5" t="n">
        <x:v>-0.010619469026548672</x:v>
      </x:c>
      <x:c r="AM186" s="5" t="n">
        <x:v>0.0015170670037926676</x:v>
      </x:c>
      <x:c r="AN186" s="5" t="n">
        <x:v>-0.011378002528445006</x:v>
      </x:c>
      <x:c r="AO186" s="2" t="str">
        <x:v>C206</x:v>
      </x:c>
      <x:c r="AP186" s="2" t="n">
        <x:v>1</x:v>
      </x:c>
    </x:row>
    <x:row r="187" ht="26" customHeight="1">
      <x:c r="A187" s="2" t="n">
        <x:v>207</x:v>
      </x:c>
      <x:c r="B187" s="4" t="n">
        <x:v>46275</x:v>
      </x:c>
      <x:c r="C187" s="10" t="n">
        <x:v>46275.395891203705</x:v>
      </x:c>
      <x:c r="D187" s="2" t="str">
        <x:v>白糖</x:v>
      </x:c>
      <x:c r="E187" s="2" t="str">
        <x:v>SR2701</x:v>
      </x:c>
      <x:c r="F187" s="2" t="str">
        <x:v>苏冰</x:v>
      </x:c>
      <x:c r="G187" s="2" t="str">
        <x:v>15m</x:v>
      </x:c>
      <x:c r="H187" s="2" t="str">
        <x:v>多头</x:v>
      </x:c>
      <x:c r="I187" s="2" t="n">
        <x:v>1</x:v>
      </x:c>
      <x:c r="J187" s="10" t="n">
        <x:v>46275.395833333336</x:v>
      </x:c>
      <x:c r="K187" s="11"/>
      <x:c r="L187" s="10" t="n">
        <x:v>46275.396527777775</x:v>
      </x:c>
      <x:c r="M187" s="11"/>
      <x:c r="N187" s="11"/>
      <x:c r="O187" s="5" t="str">
        <x:f>IF(N187="","",I187*(N187/M187-1))</x:f>
      </x:c>
      <x:c r="P187" s="11"/>
      <x:c r="Q187" s="5" t="str">
        <x:f>IF(P187="","",I187*(P187/M187-1))</x:f>
      </x:c>
      <x:c r="R187" s="11"/>
      <x:c r="S187" s="5" t="str">
        <x:f>IF(R187="","",I187*(R187/M187-1))</x:f>
      </x:c>
      <x:c r="T187" s="2" t="str">
        <x:f>IF(R187="",AK187,IF(S187&gt;0,"有利",IF(S187&lt;0,"不利","持平")))</x:f>
        <x:v>数据不足</x:v>
      </x:c>
      <x:c r="U187" s="5"/>
      <x:c r="V187" s="5"/>
      <x:c r="W187" s="2" t="str">
        <x:v>本次未复算；前次：公式复算数据不足</x:v>
      </x:c>
      <x:c r="X187" s="2" t="str">
        <x:v>逐条结果未留存</x:v>
      </x:c>
      <x:c r="Y187" s="10"/>
      <x:c r="Z187" s="10"/>
      <x:c r="AA187" s="10"/>
      <x:c r="AB187" s="12" t="n">
        <x:v>5.889317</x:v>
      </x:c>
      <x:c r="AC187" s="2" t="str">
        <x:v>subing_ths_alert_15m_v1</x:v>
      </x:c>
      <x:c r="AD187" s="5"/>
      <x:c r="AE187" s="5"/>
      <x:c r="AF187" s="5"/>
      <x:c r="AG187" s="2" t="str">
        <x:v>此前已有</x:v>
      </x:c>
      <x:c r="AH187" s="4" t="n">
        <x:v>46275</x:v>
      </x:c>
      <x:c r="AI187" s="2" t="str">
        <x:v>数据不足</x:v>
      </x:c>
      <x:c r="AJ187" s="2" t="str">
        <x:v>数据不足</x:v>
      </x:c>
      <x:c r="AK187" s="2" t="str">
        <x:v>数据不足</x:v>
      </x:c>
      <x:c r="AL187" s="5" t="n">
        <x:v>0.0014627902724446882</x:v>
      </x:c>
      <x:c r="AM187" s="5" t="n">
        <x:v>-0.00018284878405558602</x:v>
      </x:c>
      <x:c r="AN187" s="5" t="n">
        <x:v>0.00036569756811117204</x:v>
      </x:c>
      <x:c r="AO187" s="2" t="str">
        <x:v>C207</x:v>
      </x:c>
      <x:c r="AP187" s="2" t="n">
        <x:v>1</x:v>
      </x:c>
    </x:row>
    <x:row r="188" ht="26" customHeight="1">
      <x:c r="A188" s="2" t="n">
        <x:v>208</x:v>
      </x:c>
      <x:c r="B188" s="4" t="n">
        <x:v>46275</x:v>
      </x:c>
      <x:c r="C188" s="10" t="n">
        <x:v>46275.39603009259</x:v>
      </x:c>
      <x:c r="D188" s="2" t="str">
        <x:v>铝</x:v>
      </x:c>
      <x:c r="E188" s="2" t="str">
        <x:v>AL2610</x:v>
      </x:c>
      <x:c r="F188" s="2" t="str">
        <x:v>苏冰</x:v>
      </x:c>
      <x:c r="G188" s="2" t="str">
        <x:v>15m</x:v>
      </x:c>
      <x:c r="H188" s="2" t="str">
        <x:v>空头</x:v>
      </x:c>
      <x:c r="I188" s="2" t="n">
        <x:v>-1</x:v>
      </x:c>
      <x:c r="J188" s="10" t="n">
        <x:v>46275.395833333336</x:v>
      </x:c>
      <x:c r="K188" s="11"/>
      <x:c r="L188" s="10" t="n">
        <x:v>46275.396527777775</x:v>
      </x:c>
      <x:c r="M188" s="11"/>
      <x:c r="N188" s="11"/>
      <x:c r="O188" s="5" t="str">
        <x:f>IF(N188="","",I188*(N188/M188-1))</x:f>
      </x:c>
      <x:c r="P188" s="11"/>
      <x:c r="Q188" s="5" t="str">
        <x:f>IF(P188="","",I188*(P188/M188-1))</x:f>
      </x:c>
      <x:c r="R188" s="11"/>
      <x:c r="S188" s="5" t="str">
        <x:f>IF(R188="","",I188*(R188/M188-1))</x:f>
      </x:c>
      <x:c r="T188" s="2" t="str">
        <x:f>IF(R188="",AK188,IF(S188&gt;0,"有利",IF(S188&lt;0,"不利","持平")))</x:f>
        <x:v>数据不足</x:v>
      </x:c>
      <x:c r="U188" s="5"/>
      <x:c r="V188" s="5"/>
      <x:c r="W188" s="2" t="str">
        <x:v>本次未复算；前次：公式复算数据不足</x:v>
      </x:c>
      <x:c r="X188" s="2" t="str">
        <x:v>逐条结果未留存</x:v>
      </x:c>
      <x:c r="Y188" s="10"/>
      <x:c r="Z188" s="10"/>
      <x:c r="AA188" s="10"/>
      <x:c r="AB188" s="12" t="n">
        <x:v>17.86161</x:v>
      </x:c>
      <x:c r="AC188" s="2" t="str">
        <x:v>subing_ths_alert_15m_v1</x:v>
      </x:c>
      <x:c r="AD188" s="5"/>
      <x:c r="AE188" s="5"/>
      <x:c r="AF188" s="5"/>
      <x:c r="AG188" s="2" t="str">
        <x:v>此前已有</x:v>
      </x:c>
      <x:c r="AH188" s="4" t="n">
        <x:v>46275</x:v>
      </x:c>
      <x:c r="AI188" s="2" t="str">
        <x:v>数据不足</x:v>
      </x:c>
      <x:c r="AJ188" s="2" t="str">
        <x:v>数据不足</x:v>
      </x:c>
      <x:c r="AK188" s="2" t="str">
        <x:v>数据不足</x:v>
      </x:c>
      <x:c r="AL188" s="5" t="n">
        <x:v>-0.0004062563477554337</x:v>
      </x:c>
      <x:c r="AM188" s="5" t="n">
        <x:v>0.0006093845216331506</x:v>
      </x:c>
      <x:c r="AN188" s="5" t="n">
        <x:v>0.0016250253910217347</x:v>
      </x:c>
      <x:c r="AO188" s="2" t="str">
        <x:v>C208</x:v>
      </x:c>
      <x:c r="AP188" s="2" t="n">
        <x:v>1</x:v>
      </x:c>
    </x:row>
    <x:row r="189" ht="26" customHeight="1">
      <x:c r="A189" s="2" t="n">
        <x:v>209</x:v>
      </x:c>
      <x:c r="B189" s="4" t="n">
        <x:v>46275</x:v>
      </x:c>
      <x:c r="C189" s="10" t="n">
        <x:v>46275.396145833336</x:v>
      </x:c>
      <x:c r="D189" s="2" t="str">
        <x:v>锰硅</x:v>
      </x:c>
      <x:c r="E189" s="2" t="str">
        <x:v>SM2611</x:v>
      </x:c>
      <x:c r="F189" s="2" t="str">
        <x:v>苏冰</x:v>
      </x:c>
      <x:c r="G189" s="2" t="str">
        <x:v>15m</x:v>
      </x:c>
      <x:c r="H189" s="2" t="str">
        <x:v>空头</x:v>
      </x:c>
      <x:c r="I189" s="2" t="n">
        <x:v>-1</x:v>
      </x:c>
      <x:c r="J189" s="10" t="n">
        <x:v>46275.395833333336</x:v>
      </x:c>
      <x:c r="K189" s="11"/>
      <x:c r="L189" s="10" t="n">
        <x:v>46275.396527777775</x:v>
      </x:c>
      <x:c r="M189" s="11"/>
      <x:c r="N189" s="11"/>
      <x:c r="O189" s="5" t="str">
        <x:f>IF(N189="","",I189*(N189/M189-1))</x:f>
      </x:c>
      <x:c r="P189" s="11"/>
      <x:c r="Q189" s="5" t="str">
        <x:f>IF(P189="","",I189*(P189/M189-1))</x:f>
      </x:c>
      <x:c r="R189" s="11"/>
      <x:c r="S189" s="5" t="str">
        <x:f>IF(R189="","",I189*(R189/M189-1))</x:f>
      </x:c>
      <x:c r="T189" s="2" t="str">
        <x:f>IF(R189="",AK189,IF(S189&gt;0,"有利",IF(S189&lt;0,"不利","持平")))</x:f>
        <x:v>数据不足</x:v>
      </x:c>
      <x:c r="U189" s="5"/>
      <x:c r="V189" s="5"/>
      <x:c r="W189" s="2" t="str">
        <x:v>本次未复算；前次：公式复算数据不足</x:v>
      </x:c>
      <x:c r="X189" s="2" t="str">
        <x:v>逐条结果未留存</x:v>
      </x:c>
      <x:c r="Y189" s="10"/>
      <x:c r="Z189" s="10"/>
      <x:c r="AA189" s="10"/>
      <x:c r="AB189" s="12" t="n">
        <x:v>27.428207</x:v>
      </x:c>
      <x:c r="AC189" s="2" t="str">
        <x:v>subing_ths_alert_15m_v1</x:v>
      </x:c>
      <x:c r="AD189" s="5"/>
      <x:c r="AE189" s="5"/>
      <x:c r="AF189" s="5"/>
      <x:c r="AG189" s="2" t="str">
        <x:v>此前已有</x:v>
      </x:c>
      <x:c r="AH189" s="4" t="n">
        <x:v>46275</x:v>
      </x:c>
      <x:c r="AI189" s="2" t="str">
        <x:v>数据不足</x:v>
      </x:c>
      <x:c r="AJ189" s="2" t="str">
        <x:v>数据不足</x:v>
      </x:c>
      <x:c r="AK189" s="2" t="str">
        <x:v>数据不足</x:v>
      </x:c>
      <x:c r="AL189" s="5" t="n">
        <x:v>0.0013513513513513514</x:v>
      </x:c>
      <x:c r="AM189" s="5" t="n">
        <x:v>0.0037162162162162164</x:v>
      </x:c>
      <x:c r="AN189" s="5" t="n">
        <x:v>0.004054054054054054</x:v>
      </x:c>
      <x:c r="AO189" s="2" t="str">
        <x:v>C209</x:v>
      </x:c>
      <x:c r="AP189" s="2" t="n">
        <x:v>1</x:v>
      </x:c>
    </x:row>
    <x:row r="190" ht="26" customHeight="1">
      <x:c r="A190" s="2" t="n">
        <x:v>210</x:v>
      </x:c>
      <x:c r="B190" s="4" t="n">
        <x:v>46275</x:v>
      </x:c>
      <x:c r="C190" s="10" t="n">
        <x:v>46275.396157407406</x:v>
      </x:c>
      <x:c r="D190" s="2" t="str">
        <x:v>尿素</x:v>
      </x:c>
      <x:c r="E190" s="2" t="str">
        <x:v>UR2701</x:v>
      </x:c>
      <x:c r="F190" s="2" t="str">
        <x:v>苏冰</x:v>
      </x:c>
      <x:c r="G190" s="2" t="str">
        <x:v>15m</x:v>
      </x:c>
      <x:c r="H190" s="2" t="str">
        <x:v>多头</x:v>
      </x:c>
      <x:c r="I190" s="2" t="n">
        <x:v>1</x:v>
      </x:c>
      <x:c r="J190" s="10" t="n">
        <x:v>46275.395833333336</x:v>
      </x:c>
      <x:c r="K190" s="11"/>
      <x:c r="L190" s="10" t="n">
        <x:v>46275.396527777775</x:v>
      </x:c>
      <x:c r="M190" s="11"/>
      <x:c r="N190" s="11"/>
      <x:c r="O190" s="5" t="str">
        <x:f>IF(N190="","",I190*(N190/M190-1))</x:f>
      </x:c>
      <x:c r="P190" s="11"/>
      <x:c r="Q190" s="5" t="str">
        <x:f>IF(P190="","",I190*(P190/M190-1))</x:f>
      </x:c>
      <x:c r="R190" s="11"/>
      <x:c r="S190" s="5" t="str">
        <x:f>IF(R190="","",I190*(R190/M190-1))</x:f>
      </x:c>
      <x:c r="T190" s="2" t="str">
        <x:f>IF(R190="",AK190,IF(S190&gt;0,"有利",IF(S190&lt;0,"不利","持平")))</x:f>
        <x:v>数据不足</x:v>
      </x:c>
      <x:c r="U190" s="5"/>
      <x:c r="V190" s="5"/>
      <x:c r="W190" s="2" t="str">
        <x:v>本次未复算；前次：公式复算数据不足</x:v>
      </x:c>
      <x:c r="X190" s="2" t="str">
        <x:v>逐条结果未留存</x:v>
      </x:c>
      <x:c r="Y190" s="10"/>
      <x:c r="Z190" s="10"/>
      <x:c r="AA190" s="10"/>
      <x:c r="AB190" s="12" t="n">
        <x:v>28.551324</x:v>
      </x:c>
      <x:c r="AC190" s="2" t="str">
        <x:v>subing_ths_alert_15m_v1</x:v>
      </x:c>
      <x:c r="AD190" s="5"/>
      <x:c r="AE190" s="5"/>
      <x:c r="AF190" s="5"/>
      <x:c r="AG190" s="2" t="str">
        <x:v>此前已有</x:v>
      </x:c>
      <x:c r="AH190" s="4" t="n">
        <x:v>46275</x:v>
      </x:c>
      <x:c r="AI190" s="2" t="str">
        <x:v>数据不足</x:v>
      </x:c>
      <x:c r="AJ190" s="2" t="str">
        <x:v>数据不足</x:v>
      </x:c>
      <x:c r="AK190" s="2" t="str">
        <x:v>数据不足</x:v>
      </x:c>
      <x:c r="AL190" s="5" t="n">
        <x:v>0.0022123893805309734</x:v>
      </x:c>
      <x:c r="AM190" s="5" t="n">
        <x:v>-0.00331858407079646</x:v>
      </x:c>
      <x:c r="AN190" s="5" t="n">
        <x:v>0</x:v>
      </x:c>
      <x:c r="AO190" s="2" t="str">
        <x:v>C210</x:v>
      </x:c>
      <x:c r="AP190" s="2" t="n">
        <x:v>1</x:v>
      </x:c>
    </x:row>
    <x:row r="191" ht="26" customHeight="1">
      <x:c r="A191" s="2" t="n">
        <x:v>211</x:v>
      </x:c>
      <x:c r="B191" s="4" t="n">
        <x:v>46275</x:v>
      </x:c>
      <x:c r="C191" s="10" t="n">
        <x:v>46275.406319444446</x:v>
      </x:c>
      <x:c r="D191" s="2" t="str">
        <x:v>原油</x:v>
      </x:c>
      <x:c r="E191" s="2" t="str">
        <x:v>SC2610</x:v>
      </x:c>
      <x:c r="F191" s="2" t="str">
        <x:v>苏冰</x:v>
      </x:c>
      <x:c r="G191" s="2" t="str">
        <x:v>15m</x:v>
      </x:c>
      <x:c r="H191" s="2" t="str">
        <x:v>多头</x:v>
      </x:c>
      <x:c r="I191" s="2" t="n">
        <x:v>1</x:v>
      </x:c>
      <x:c r="J191" s="10" t="n">
        <x:v>46275.40625</x:v>
      </x:c>
      <x:c r="K191" s="11"/>
      <x:c r="L191" s="10" t="n">
        <x:v>46275.40694444445</x:v>
      </x:c>
      <x:c r="M191" s="11"/>
      <x:c r="N191" s="11"/>
      <x:c r="O191" s="5" t="str">
        <x:f>IF(N191="","",I191*(N191/M191-1))</x:f>
      </x:c>
      <x:c r="P191" s="11"/>
      <x:c r="Q191" s="5" t="str">
        <x:f>IF(P191="","",I191*(P191/M191-1))</x:f>
      </x:c>
      <x:c r="R191" s="11"/>
      <x:c r="S191" s="5" t="str">
        <x:f>IF(R191="","",I191*(R191/M191-1))</x:f>
      </x:c>
      <x:c r="T191" s="2" t="str">
        <x:f>IF(R191="",AK191,IF(S191&gt;0,"有利",IF(S191&lt;0,"不利","持平")))</x:f>
        <x:v>数据不足</x:v>
      </x:c>
      <x:c r="U191" s="5"/>
      <x:c r="V191" s="5"/>
      <x:c r="W191" s="2" t="str">
        <x:v>本次未复算；前次：公式复算数据不足</x:v>
      </x:c>
      <x:c r="X191" s="2" t="str">
        <x:v>逐条结果未留存</x:v>
      </x:c>
      <x:c r="Y191" s="10"/>
      <x:c r="Z191" s="10"/>
      <x:c r="AA191" s="10"/>
      <x:c r="AB191" s="12" t="n">
        <x:v>6.417943</x:v>
      </x:c>
      <x:c r="AC191" s="2" t="str">
        <x:v>subing_ths_alert_15m_v1</x:v>
      </x:c>
      <x:c r="AD191" s="5"/>
      <x:c r="AE191" s="5"/>
      <x:c r="AF191" s="5"/>
      <x:c r="AG191" s="2" t="str">
        <x:v>此前已有</x:v>
      </x:c>
      <x:c r="AH191" s="4" t="n">
        <x:v>46275</x:v>
      </x:c>
      <x:c r="AI191" s="2" t="str">
        <x:v>数据不足</x:v>
      </x:c>
      <x:c r="AJ191" s="2" t="str">
        <x:v>数据不足</x:v>
      </x:c>
      <x:c r="AK191" s="2" t="str">
        <x:v>数据不足</x:v>
      </x:c>
      <x:c r="AL191" s="5" t="n">
        <x:v>-0.018657189998730804</x:v>
      </x:c>
      <x:c r="AM191" s="5" t="n">
        <x:v>-0.014341921563650209</x:v>
      </x:c>
      <x:c r="AN191" s="5" t="n">
        <x:v>-0.026018530270338874</x:v>
      </x:c>
      <x:c r="AO191" s="2" t="str">
        <x:v>C211</x:v>
      </x:c>
      <x:c r="AP191" s="2" t="n">
        <x:v>1</x:v>
      </x:c>
    </x:row>
    <x:row r="192" ht="26" customHeight="1">
      <x:c r="A192" s="2" t="n">
        <x:v>212</x:v>
      </x:c>
      <x:c r="B192" s="4" t="n">
        <x:v>46275</x:v>
      </x:c>
      <x:c r="C192" s="10" t="n">
        <x:v>46275.40635416667</x:v>
      </x:c>
      <x:c r="D192" s="2" t="str">
        <x:v>多晶硅</x:v>
      </x:c>
      <x:c r="E192" s="2" t="str">
        <x:v>PS2611</x:v>
      </x:c>
      <x:c r="F192" s="2" t="str">
        <x:v>苏冰</x:v>
      </x:c>
      <x:c r="G192" s="2" t="str">
        <x:v>15m</x:v>
      </x:c>
      <x:c r="H192" s="2" t="str">
        <x:v>空头</x:v>
      </x:c>
      <x:c r="I192" s="2" t="n">
        <x:v>-1</x:v>
      </x:c>
      <x:c r="J192" s="10" t="n">
        <x:v>46275.40625</x:v>
      </x:c>
      <x:c r="K192" s="11"/>
      <x:c r="L192" s="10" t="n">
        <x:v>46275.40694444445</x:v>
      </x:c>
      <x:c r="M192" s="11"/>
      <x:c r="N192" s="11"/>
      <x:c r="O192" s="5" t="str">
        <x:f>IF(N192="","",I192*(N192/M192-1))</x:f>
      </x:c>
      <x:c r="P192" s="11"/>
      <x:c r="Q192" s="5" t="str">
        <x:f>IF(P192="","",I192*(P192/M192-1))</x:f>
      </x:c>
      <x:c r="R192" s="11"/>
      <x:c r="S192" s="5" t="str">
        <x:f>IF(R192="","",I192*(R192/M192-1))</x:f>
      </x:c>
      <x:c r="T192" s="2" t="str">
        <x:f>IF(R192="",AK192,IF(S192&gt;0,"有利",IF(S192&lt;0,"不利","持平")))</x:f>
        <x:v>数据不足</x:v>
      </x:c>
      <x:c r="U192" s="5"/>
      <x:c r="V192" s="5"/>
      <x:c r="W192" s="2" t="str">
        <x:v>本次未复算；前次：公式复算数据不足</x:v>
      </x:c>
      <x:c r="X192" s="2" t="str">
        <x:v>逐条结果未留存</x:v>
      </x:c>
      <x:c r="Y192" s="10"/>
      <x:c r="Z192" s="10"/>
      <x:c r="AA192" s="10"/>
      <x:c r="AB192" s="12" t="n">
        <x:v>9.972608</x:v>
      </x:c>
      <x:c r="AC192" s="2" t="str">
        <x:v>subing_ths_alert_15m_v1</x:v>
      </x:c>
      <x:c r="AD192" s="5"/>
      <x:c r="AE192" s="5"/>
      <x:c r="AF192" s="5"/>
      <x:c r="AG192" s="2" t="str">
        <x:v>此前已有</x:v>
      </x:c>
      <x:c r="AH192" s="4" t="n">
        <x:v>46275</x:v>
      </x:c>
      <x:c r="AI192" s="2" t="str">
        <x:v>数据不足</x:v>
      </x:c>
      <x:c r="AJ192" s="2" t="str">
        <x:v>数据不足</x:v>
      </x:c>
      <x:c r="AK192" s="2" t="str">
        <x:v>数据不足</x:v>
      </x:c>
      <x:c r="AL192" s="5" t="n">
        <x:v>0.00026925148088314486</x:v>
      </x:c>
      <x:c r="AM192" s="5" t="n">
        <x:v>-0.0004038772213247173</x:v>
      </x:c>
      <x:c r="AN192" s="5" t="n">
        <x:v>0.0006731287022078621</x:v>
      </x:c>
      <x:c r="AO192" s="2" t="str">
        <x:v>C212</x:v>
      </x:c>
      <x:c r="AP192" s="2" t="n">
        <x:v>1</x:v>
      </x:c>
    </x:row>
    <x:row r="193" ht="26" customHeight="1">
      <x:c r="A193" s="2" t="n">
        <x:v>213</x:v>
      </x:c>
      <x:c r="B193" s="4" t="n">
        <x:v>46275</x:v>
      </x:c>
      <x:c r="C193" s="10" t="n">
        <x:v>46275.41672453703</x:v>
      </x:c>
      <x:c r="D193" s="2" t="str">
        <x:v>玻璃</x:v>
      </x:c>
      <x:c r="E193" s="2" t="str">
        <x:v>FG2701</x:v>
      </x:c>
      <x:c r="F193" s="2" t="str">
        <x:v>苏冰</x:v>
      </x:c>
      <x:c r="G193" s="2" t="str">
        <x:v>15m</x:v>
      </x:c>
      <x:c r="H193" s="2" t="str">
        <x:v>多头</x:v>
      </x:c>
      <x:c r="I193" s="2" t="n">
        <x:v>1</x:v>
      </x:c>
      <x:c r="J193" s="10" t="n">
        <x:v>46275.416666666664</x:v>
      </x:c>
      <x:c r="K193" s="11"/>
      <x:c r="L193" s="10" t="n">
        <x:v>46275.41736111111</x:v>
      </x:c>
      <x:c r="M193" s="11"/>
      <x:c r="N193" s="11"/>
      <x:c r="O193" s="5" t="str">
        <x:f>IF(N193="","",I193*(N193/M193-1))</x:f>
      </x:c>
      <x:c r="P193" s="11"/>
      <x:c r="Q193" s="5" t="str">
        <x:f>IF(P193="","",I193*(P193/M193-1))</x:f>
      </x:c>
      <x:c r="R193" s="11"/>
      <x:c r="S193" s="5" t="str">
        <x:f>IF(R193="","",I193*(R193/M193-1))</x:f>
      </x:c>
      <x:c r="T193" s="2" t="str">
        <x:f>IF(R193="",AK193,IF(S193&gt;0,"有利",IF(S193&lt;0,"不利","持平")))</x:f>
        <x:v>数据不足</x:v>
      </x:c>
      <x:c r="U193" s="5"/>
      <x:c r="V193" s="5"/>
      <x:c r="W193" s="2" t="str">
        <x:v>本次未复算；前次：公式复算数据不足</x:v>
      </x:c>
      <x:c r="X193" s="2" t="str">
        <x:v>逐条结果未留存</x:v>
      </x:c>
      <x:c r="Y193" s="10"/>
      <x:c r="Z193" s="10"/>
      <x:c r="AA193" s="10"/>
      <x:c r="AB193" s="12" t="n">
        <x:v>5.227955</x:v>
      </x:c>
      <x:c r="AC193" s="2" t="str">
        <x:v>subing_ths_alert_15m_v1</x:v>
      </x:c>
      <x:c r="AD193" s="5"/>
      <x:c r="AE193" s="5"/>
      <x:c r="AF193" s="5"/>
      <x:c r="AG193" s="2" t="str">
        <x:v>此前已有</x:v>
      </x:c>
      <x:c r="AH193" s="4" t="n">
        <x:v>46275</x:v>
      </x:c>
      <x:c r="AI193" s="2" t="str">
        <x:v>数据不足</x:v>
      </x:c>
      <x:c r="AJ193" s="2" t="str">
        <x:v>数据不足</x:v>
      </x:c>
      <x:c r="AK193" s="2" t="str">
        <x:v>数据不足</x:v>
      </x:c>
      <x:c r="AL193" s="5" t="n">
        <x:v>0.004162330905306972</x:v>
      </x:c>
      <x:c r="AM193" s="5" t="n">
        <x:v>0.007284079084287201</x:v>
      </x:c>
      <x:c r="AN193" s="5" t="n">
        <x:v>0.004162330905306972</x:v>
      </x:c>
      <x:c r="AO193" s="2" t="str">
        <x:v>C213</x:v>
      </x:c>
      <x:c r="AP193" s="2" t="n">
        <x:v>1</x:v>
      </x:c>
    </x:row>
    <x:row r="194" ht="26" customHeight="1">
      <x:c r="A194" s="2" t="n">
        <x:v>214</x:v>
      </x:c>
      <x:c r="B194" s="4" t="n">
        <x:v>46275</x:v>
      </x:c>
      <x:c r="C194" s="10" t="n">
        <x:v>46275.41685185185</x:v>
      </x:c>
      <x:c r="D194" s="2" t="str">
        <x:v>不锈钢</x:v>
      </x:c>
      <x:c r="E194" s="2" t="str">
        <x:v>SS2610</x:v>
      </x:c>
      <x:c r="F194" s="2" t="str">
        <x:v>苏冰</x:v>
      </x:c>
      <x:c r="G194" s="2" t="str">
        <x:v>15m</x:v>
      </x:c>
      <x:c r="H194" s="2" t="str">
        <x:v>空头</x:v>
      </x:c>
      <x:c r="I194" s="2" t="n">
        <x:v>-1</x:v>
      </x:c>
      <x:c r="J194" s="10" t="n">
        <x:v>46275.416666666664</x:v>
      </x:c>
      <x:c r="K194" s="11"/>
      <x:c r="L194" s="10" t="n">
        <x:v>46275.41736111111</x:v>
      </x:c>
      <x:c r="M194" s="11"/>
      <x:c r="N194" s="11"/>
      <x:c r="O194" s="5" t="str">
        <x:f>IF(N194="","",I194*(N194/M194-1))</x:f>
      </x:c>
      <x:c r="P194" s="11"/>
      <x:c r="Q194" s="5" t="str">
        <x:f>IF(P194="","",I194*(P194/M194-1))</x:f>
      </x:c>
      <x:c r="R194" s="11"/>
      <x:c r="S194" s="5" t="str">
        <x:f>IF(R194="","",I194*(R194/M194-1))</x:f>
      </x:c>
      <x:c r="T194" s="2" t="str">
        <x:f>IF(R194="",AK194,IF(S194&gt;0,"有利",IF(S194&lt;0,"不利","持平")))</x:f>
        <x:v>数据不足</x:v>
      </x:c>
      <x:c r="U194" s="5"/>
      <x:c r="V194" s="5"/>
      <x:c r="W194" s="2" t="str">
        <x:v>本次未复算；前次：公式复算数据不足</x:v>
      </x:c>
      <x:c r="X194" s="2" t="str">
        <x:v>逐条结果未留存</x:v>
      </x:c>
      <x:c r="Y194" s="10"/>
      <x:c r="Z194" s="10"/>
      <x:c r="AA194" s="10"/>
      <x:c r="AB194" s="12" t="n">
        <x:v>16.829895</x:v>
      </x:c>
      <x:c r="AC194" s="2" t="str">
        <x:v>subing_ths_alert_15m_v1</x:v>
      </x:c>
      <x:c r="AD194" s="5"/>
      <x:c r="AE194" s="5"/>
      <x:c r="AF194" s="5"/>
      <x:c r="AG194" s="2" t="str">
        <x:v>此前已有</x:v>
      </x:c>
      <x:c r="AH194" s="4" t="n">
        <x:v>46275</x:v>
      </x:c>
      <x:c r="AI194" s="2" t="str">
        <x:v>数据不足</x:v>
      </x:c>
      <x:c r="AJ194" s="2" t="str">
        <x:v>数据不足</x:v>
      </x:c>
      <x:c r="AK194" s="2" t="str">
        <x:v>数据不足</x:v>
      </x:c>
      <x:c r="AL194" s="5" t="n">
        <x:v>-0.003257328990228013</x:v>
      </x:c>
      <x:c r="AM194" s="5" t="n">
        <x:v>-0.003257328990228013</x:v>
      </x:c>
      <x:c r="AN194" s="5" t="n">
        <x:v>-0.003257328990228013</x:v>
      </x:c>
      <x:c r="AO194" s="2" t="str">
        <x:v>C214</x:v>
      </x:c>
      <x:c r="AP194" s="2" t="n">
        <x:v>1</x:v>
      </x:c>
    </x:row>
    <x:row r="195" ht="26" customHeight="1">
      <x:c r="A195" s="2" t="n">
        <x:v>215</x:v>
      </x:c>
      <x:c r="B195" s="4" t="n">
        <x:v>46275</x:v>
      </x:c>
      <x:c r="C195" s="10" t="n">
        <x:v>46275.427141203705</x:v>
      </x:c>
      <x:c r="D195" s="2" t="str">
        <x:v>沥青</x:v>
      </x:c>
      <x:c r="E195" s="2" t="str">
        <x:v>BU2610</x:v>
      </x:c>
      <x:c r="F195" s="2" t="str">
        <x:v>苏冰</x:v>
      </x:c>
      <x:c r="G195" s="2" t="str">
        <x:v>15m</x:v>
      </x:c>
      <x:c r="H195" s="2" t="str">
        <x:v>空头</x:v>
      </x:c>
      <x:c r="I195" s="2" t="n">
        <x:v>-1</x:v>
      </x:c>
      <x:c r="J195" s="10" t="n">
        <x:v>46275.427083333336</x:v>
      </x:c>
      <x:c r="K195" s="11"/>
      <x:c r="L195" s="10" t="n">
        <x:v>46275.43819444445</x:v>
      </x:c>
      <x:c r="M195" s="11"/>
      <x:c r="N195" s="11"/>
      <x:c r="O195" s="5" t="str">
        <x:f>IF(N195="","",I195*(N195/M195-1))</x:f>
      </x:c>
      <x:c r="P195" s="11"/>
      <x:c r="Q195" s="5" t="str">
        <x:f>IF(P195="","",I195*(P195/M195-1))</x:f>
      </x:c>
      <x:c r="R195" s="11"/>
      <x:c r="S195" s="5" t="str">
        <x:f>IF(R195="","",I195*(R195/M195-1))</x:f>
      </x:c>
      <x:c r="T195" s="2" t="str">
        <x:f>IF(R195="",AK195,IF(S195&gt;0,"有利",IF(S195&lt;0,"不利","持平")))</x:f>
        <x:v>数据不足</x:v>
      </x:c>
      <x:c r="U195" s="5"/>
      <x:c r="V195" s="5"/>
      <x:c r="W195" s="2" t="str">
        <x:v>本次未复算；前次：公式复算数据不足</x:v>
      </x:c>
      <x:c r="X195" s="2" t="str">
        <x:v>逐条结果未留存</x:v>
      </x:c>
      <x:c r="Y195" s="10"/>
      <x:c r="Z195" s="10"/>
      <x:c r="AA195" s="10"/>
      <x:c r="AB195" s="12" t="n">
        <x:v>5.888266</x:v>
      </x:c>
      <x:c r="AC195" s="2" t="str">
        <x:v>subing_ths_alert_15m_v1</x:v>
      </x:c>
      <x:c r="AD195" s="5"/>
      <x:c r="AE195" s="5"/>
      <x:c r="AF195" s="5"/>
      <x:c r="AG195" s="2" t="str">
        <x:v>此前已有</x:v>
      </x:c>
      <x:c r="AH195" s="4" t="n">
        <x:v>46275</x:v>
      </x:c>
      <x:c r="AI195" s="2" t="str">
        <x:v>数据不足</x:v>
      </x:c>
      <x:c r="AJ195" s="2" t="str">
        <x:v>数据不足</x:v>
      </x:c>
      <x:c r="AK195" s="2" t="str">
        <x:v>数据不足</x:v>
      </x:c>
      <x:c r="AL195" s="5" t="n">
        <x:v>-0.00019007793195210037</x:v>
      </x:c>
      <x:c r="AM195" s="5" t="n">
        <x:v>-0.0011404675917126021</x:v>
      </x:c>
      <x:c r="AN195" s="5" t="n">
        <x:v>-0.003231324843185706</x:v>
      </x:c>
      <x:c r="AO195" s="2" t="str">
        <x:v>C215</x:v>
      </x:c>
      <x:c r="AP195" s="2" t="n">
        <x:v>1</x:v>
      </x:c>
    </x:row>
    <x:row r="196" ht="26" customHeight="1">
      <x:c r="A196" s="2" t="n">
        <x:v>216</x:v>
      </x:c>
      <x:c r="B196" s="4" t="n">
        <x:v>46275</x:v>
      </x:c>
      <x:c r="C196" s="10" t="n">
        <x:v>46275.427152777775</x:v>
      </x:c>
      <x:c r="D196" s="2" t="str">
        <x:v>不锈钢</x:v>
      </x:c>
      <x:c r="E196" s="2" t="str">
        <x:v>SS2610</x:v>
      </x:c>
      <x:c r="F196" s="2" t="str">
        <x:v>苏冰</x:v>
      </x:c>
      <x:c r="G196" s="2" t="str">
        <x:v>15m</x:v>
      </x:c>
      <x:c r="H196" s="2" t="str">
        <x:v>多头</x:v>
      </x:c>
      <x:c r="I196" s="2" t="n">
        <x:v>1</x:v>
      </x:c>
      <x:c r="J196" s="10" t="n">
        <x:v>46275.427083333336</x:v>
      </x:c>
      <x:c r="K196" s="11"/>
      <x:c r="L196" s="10" t="n">
        <x:v>46275.43819444445</x:v>
      </x:c>
      <x:c r="M196" s="11"/>
      <x:c r="N196" s="11"/>
      <x:c r="O196" s="5" t="str">
        <x:f>IF(N196="","",I196*(N196/M196-1))</x:f>
      </x:c>
      <x:c r="P196" s="11"/>
      <x:c r="Q196" s="5" t="str">
        <x:f>IF(P196="","",I196*(P196/M196-1))</x:f>
      </x:c>
      <x:c r="R196" s="11"/>
      <x:c r="S196" s="5" t="str">
        <x:f>IF(R196="","",I196*(R196/M196-1))</x:f>
      </x:c>
      <x:c r="T196" s="2" t="str">
        <x:f>IF(R196="",AK196,IF(S196&gt;0,"有利",IF(S196&lt;0,"不利","持平")))</x:f>
        <x:v>数据不足</x:v>
      </x:c>
      <x:c r="U196" s="5"/>
      <x:c r="V196" s="5"/>
      <x:c r="W196" s="2" t="str">
        <x:v>本次未复算；前次：公式复算数据不足</x:v>
      </x:c>
      <x:c r="X196" s="2" t="str">
        <x:v>provider_accepted</x:v>
      </x:c>
      <x:c r="Y196" s="10"/>
      <x:c r="Z196" s="10"/>
      <x:c r="AA196" s="10"/>
      <x:c r="AB196" s="12" t="n">
        <x:v>6.78412</x:v>
      </x:c>
      <x:c r="AC196" s="2" t="str">
        <x:v>subing_ths_alert_15m_v1</x:v>
      </x:c>
      <x:c r="AD196" s="5"/>
      <x:c r="AE196" s="5"/>
      <x:c r="AF196" s="5"/>
      <x:c r="AG196" s="2" t="str">
        <x:v>此前已有</x:v>
      </x:c>
      <x:c r="AH196" s="4" t="n">
        <x:v>46275</x:v>
      </x:c>
      <x:c r="AI196" s="2" t="str">
        <x:v>数据不足</x:v>
      </x:c>
      <x:c r="AJ196" s="2" t="str">
        <x:v>数据不足</x:v>
      </x:c>
      <x:c r="AK196" s="2" t="str">
        <x:v>数据不足</x:v>
      </x:c>
      <x:c r="AL196" s="5" t="n">
        <x:v>0</x:v>
      </x:c>
      <x:c r="AM196" s="5" t="n">
        <x:v>0.00036075036075036075</x:v>
      </x:c>
      <x:c r="AN196" s="5" t="n">
        <x:v>-0.00036075036075036075</x:v>
      </x:c>
      <x:c r="AO196" s="2" t="str">
        <x:v>C216</x:v>
      </x:c>
      <x:c r="AP196" s="2" t="n">
        <x:v>1</x:v>
      </x:c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</x:row>
    <x:row r="20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</x:row>
    <x:row r="202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</x:row>
    <x:row r="203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</x:row>
    <x:row r="204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</x:row>
    <x:row r="205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</x:row>
    <x:row r="206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</x:row>
    <x:row r="207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</x:row>
    <x:row r="208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</x:row>
    <x:row r="20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</x:row>
    <x:row r="210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</x:row>
    <x:row r="21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</x:row>
    <x:row r="212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</x:row>
    <x:row r="213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</x:row>
    <x:row r="214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</x:row>
    <x:row r="215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</x:row>
    <x:row r="216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</x:row>
    <x:row r="217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</x:row>
    <x:row r="218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</x:row>
    <x:row r="21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</x:row>
    <x:row r="220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</x:row>
    <x:row r="22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</x:row>
    <x:row r="222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</x:row>
    <x:row r="223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</x:row>
    <x:row r="224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</x:row>
    <x:row r="225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</x:row>
    <x:row r="226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</x:row>
    <x:row r="227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</x:row>
    <x:row r="228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</x:row>
    <x:row r="229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</x:row>
    <x:row r="230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</x:row>
    <x:row r="23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</x:row>
    <x:row r="232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</x:row>
    <x:row r="233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</x:row>
    <x:row r="234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</x:row>
    <x:row r="235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</x:row>
    <x:row r="236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</x:row>
    <x:row r="237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</x:row>
    <x:row r="238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</x:row>
    <x:row r="239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  <x:c r="AA239" s="2"/>
      <x:c r="AB239" s="2"/>
      <x:c r="AC239" s="2"/>
      <x:c r="AD239" s="2"/>
      <x:c r="AE239" s="2"/>
      <x:c r="AF239" s="2"/>
      <x:c r="AG239" s="2"/>
      <x:c r="AH239" s="2"/>
      <x:c r="AI239" s="2"/>
      <x:c r="AJ239" s="2"/>
      <x:c r="AK239" s="2"/>
      <x:c r="AL239" s="2"/>
      <x:c r="AM239" s="2"/>
      <x:c r="AN239" s="2"/>
      <x:c r="AO239" s="2"/>
      <x:c r="AP239" s="2"/>
    </x:row>
    <x:row r="240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  <x:c r="AA240" s="2"/>
      <x:c r="AB240" s="2"/>
      <x:c r="AC240" s="2"/>
      <x:c r="AD240" s="2"/>
      <x:c r="AE240" s="2"/>
      <x:c r="AF240" s="2"/>
      <x:c r="AG240" s="2"/>
      <x:c r="AH240" s="2"/>
      <x:c r="AI240" s="2"/>
      <x:c r="AJ240" s="2"/>
      <x:c r="AK240" s="2"/>
      <x:c r="AL240" s="2"/>
      <x:c r="AM240" s="2"/>
      <x:c r="AN240" s="2"/>
      <x:c r="AO240" s="2"/>
      <x:c r="AP240" s="2"/>
    </x:row>
    <x:row r="24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  <x:c r="AA241" s="2"/>
      <x:c r="AB241" s="2"/>
      <x:c r="AC241" s="2"/>
      <x:c r="AD241" s="2"/>
      <x:c r="AE241" s="2"/>
      <x:c r="AF241" s="2"/>
      <x:c r="AG241" s="2"/>
      <x:c r="AH241" s="2"/>
      <x:c r="AI241" s="2"/>
      <x:c r="AJ241" s="2"/>
      <x:c r="AK241" s="2"/>
      <x:c r="AL241" s="2"/>
      <x:c r="AM241" s="2"/>
      <x:c r="AN241" s="2"/>
      <x:c r="AO241" s="2"/>
      <x:c r="AP241" s="2"/>
    </x:row>
    <x:row r="242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  <x:c r="AA242" s="2"/>
      <x:c r="AB242" s="2"/>
      <x:c r="AC242" s="2"/>
      <x:c r="AD242" s="2"/>
      <x:c r="AE242" s="2"/>
      <x:c r="AF242" s="2"/>
      <x:c r="AG242" s="2"/>
      <x:c r="AH242" s="2"/>
      <x:c r="AI242" s="2"/>
      <x:c r="AJ242" s="2"/>
      <x:c r="AK242" s="2"/>
      <x:c r="AL242" s="2"/>
      <x:c r="AM242" s="2"/>
      <x:c r="AN242" s="2"/>
      <x:c r="AO242" s="2"/>
      <x:c r="AP242" s="2"/>
    </x:row>
    <x:row r="243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  <x:c r="AA243" s="2"/>
      <x:c r="AB243" s="2"/>
      <x:c r="AC243" s="2"/>
      <x:c r="AD243" s="2"/>
      <x:c r="AE243" s="2"/>
      <x:c r="AF243" s="2"/>
      <x:c r="AG243" s="2"/>
      <x:c r="AH243" s="2"/>
      <x:c r="AI243" s="2"/>
      <x:c r="AJ243" s="2"/>
      <x:c r="AK243" s="2"/>
      <x:c r="AL243" s="2"/>
      <x:c r="AM243" s="2"/>
      <x:c r="AN243" s="2"/>
      <x:c r="AO243" s="2"/>
      <x:c r="AP243" s="2"/>
    </x:row>
    <x:row r="244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  <x:c r="AA244" s="2"/>
      <x:c r="AB244" s="2"/>
      <x:c r="AC244" s="2"/>
      <x:c r="AD244" s="2"/>
      <x:c r="AE244" s="2"/>
      <x:c r="AF244" s="2"/>
      <x:c r="AG244" s="2"/>
      <x:c r="AH244" s="2"/>
      <x:c r="AI244" s="2"/>
      <x:c r="AJ244" s="2"/>
      <x:c r="AK244" s="2"/>
      <x:c r="AL244" s="2"/>
      <x:c r="AM244" s="2"/>
      <x:c r="AN244" s="2"/>
      <x:c r="AO244" s="2"/>
      <x:c r="AP244" s="2"/>
    </x:row>
    <x:row r="245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  <x:c r="AA245" s="2"/>
      <x:c r="AB245" s="2"/>
      <x:c r="AC245" s="2"/>
      <x:c r="AD245" s="2"/>
      <x:c r="AE245" s="2"/>
      <x:c r="AF245" s="2"/>
      <x:c r="AG245" s="2"/>
      <x:c r="AH245" s="2"/>
      <x:c r="AI245" s="2"/>
      <x:c r="AJ245" s="2"/>
      <x:c r="AK245" s="2"/>
      <x:c r="AL245" s="2"/>
      <x:c r="AM245" s="2"/>
      <x:c r="AN245" s="2"/>
      <x:c r="AO245" s="2"/>
      <x:c r="AP245" s="2"/>
    </x:row>
    <x:row r="246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  <x:c r="AA246" s="2"/>
      <x:c r="AB246" s="2"/>
      <x:c r="AC246" s="2"/>
      <x:c r="AD246" s="2"/>
      <x:c r="AE246" s="2"/>
      <x:c r="AF246" s="2"/>
      <x:c r="AG246" s="2"/>
      <x:c r="AH246" s="2"/>
      <x:c r="AI246" s="2"/>
      <x:c r="AJ246" s="2"/>
      <x:c r="AK246" s="2"/>
      <x:c r="AL246" s="2"/>
      <x:c r="AM246" s="2"/>
      <x:c r="AN246" s="2"/>
      <x:c r="AO246" s="2"/>
      <x:c r="AP246" s="2"/>
    </x:row>
    <x:row r="247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  <x:c r="AA247" s="2"/>
      <x:c r="AB247" s="2"/>
      <x:c r="AC247" s="2"/>
      <x:c r="AD247" s="2"/>
      <x:c r="AE247" s="2"/>
      <x:c r="AF247" s="2"/>
      <x:c r="AG247" s="2"/>
      <x:c r="AH247" s="2"/>
      <x:c r="AI247" s="2"/>
      <x:c r="AJ247" s="2"/>
      <x:c r="AK247" s="2"/>
      <x:c r="AL247" s="2"/>
      <x:c r="AM247" s="2"/>
      <x:c r="AN247" s="2"/>
      <x:c r="AO247" s="2"/>
      <x:c r="AP247" s="2"/>
    </x:row>
    <x:row r="248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  <x:c r="AA248" s="2"/>
      <x:c r="AB248" s="2"/>
      <x:c r="AC248" s="2"/>
      <x:c r="AD248" s="2"/>
      <x:c r="AE248" s="2"/>
      <x:c r="AF248" s="2"/>
      <x:c r="AG248" s="2"/>
      <x:c r="AH248" s="2"/>
      <x:c r="AI248" s="2"/>
      <x:c r="AJ248" s="2"/>
      <x:c r="AK248" s="2"/>
      <x:c r="AL248" s="2"/>
      <x:c r="AM248" s="2"/>
      <x:c r="AN248" s="2"/>
      <x:c r="AO248" s="2"/>
      <x:c r="AP248" s="2"/>
    </x:row>
    <x:row r="249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  <x:c r="AA249" s="2"/>
      <x:c r="AB249" s="2"/>
      <x:c r="AC249" s="2"/>
      <x:c r="AD249" s="2"/>
      <x:c r="AE249" s="2"/>
      <x:c r="AF249" s="2"/>
      <x:c r="AG249" s="2"/>
      <x:c r="AH249" s="2"/>
      <x:c r="AI249" s="2"/>
      <x:c r="AJ249" s="2"/>
      <x:c r="AK249" s="2"/>
      <x:c r="AL249" s="2"/>
      <x:c r="AM249" s="2"/>
      <x:c r="AN249" s="2"/>
      <x:c r="AO249" s="2"/>
      <x:c r="AP249" s="2"/>
    </x:row>
    <x:row r="250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  <x:c r="AA250" s="2"/>
      <x:c r="AB250" s="2"/>
      <x:c r="AC250" s="2"/>
      <x:c r="AD250" s="2"/>
      <x:c r="AE250" s="2"/>
      <x:c r="AF250" s="2"/>
      <x:c r="AG250" s="2"/>
      <x:c r="AH250" s="2"/>
      <x:c r="AI250" s="2"/>
      <x:c r="AJ250" s="2"/>
      <x:c r="AK250" s="2"/>
      <x:c r="AL250" s="2"/>
      <x:c r="AM250" s="2"/>
      <x:c r="AN250" s="2"/>
      <x:c r="AO250" s="2"/>
      <x:c r="AP250" s="2"/>
    </x:row>
  </x:sheetData>
  <x:conditionalFormatting sqref="O7:O196">
    <x:cfRule type="cellIs" dxfId="0" priority="1" operator="lessThan">
      <x:formula>0</x:formula>
    </x:cfRule>
    <x:cfRule type="cellIs" dxfId="1" priority="2" operator="greaterThan">
      <x:formula>0</x:formula>
    </x:cfRule>
  </x:conditionalFormatting>
  <x:conditionalFormatting sqref="Q7:Q196">
    <x:cfRule type="cellIs" dxfId="2" priority="3" operator="lessThan">
      <x:formula>0</x:formula>
    </x:cfRule>
    <x:cfRule type="cellIs" dxfId="3" priority="4" operator="greaterThan">
      <x:formula>0</x:formula>
    </x:cfRule>
  </x:conditionalFormatting>
  <x:conditionalFormatting sqref="S7:S196">
    <x:cfRule type="cellIs" dxfId="4" priority="5" operator="lessThan">
      <x:formula>0</x:formula>
    </x:cfRule>
    <x:cfRule type="cellIs" dxfId="5" priority="6" operator="greaterThan">
      <x:formula>0</x:formula>
    </x:cfRule>
  </x:conditionalFormatting>
  <x:conditionalFormatting sqref="AL7:AN196">
    <x:cfRule type="cellIs" dxfId="6" priority="7" operator="lessThan">
      <x:formula>0</x:formula>
    </x:cfRule>
    <x:cfRule type="cellIs" dxfId="7" priority="8" operator="greaterThan">
      <x:formula>0</x:formula>
    </x:cfRule>
  </x:conditionalFormatting>
  <x:conditionalFormatting sqref="U7:U196">
    <x:cfRule type="cellIs" dxfId="8" priority="9" operator="lessThan">
      <x:formula>0</x:formula>
    </x:cfRule>
    <x:cfRule type="cellIs" dxfId="9" priority="10" operator="greaterThan">
      <x:formula>0</x:formula>
    </x:cfRule>
  </x:conditionalFormatting>
  <x:conditionalFormatting sqref="V7:V196">
    <x:cfRule type="cellIs" dxfId="10" priority="11" operator="lessThan">
      <x:formula>0</x:formula>
    </x:cfRule>
    <x:cfRule type="cellIs" dxfId="11" priority="12" operator="greaterThan">
      <x:formula>0</x:formula>
    </x:cfRule>
  </x:conditionalFormatting>
  <x:conditionalFormatting sqref="AD7:AD196">
    <x:cfRule type="cellIs" dxfId="12" priority="13" operator="lessThan">
      <x:formula>0</x:formula>
    </x:cfRule>
    <x:cfRule type="cellIs" dxfId="13" priority="14" operator="greaterThan">
      <x:formula>0</x:formula>
    </x:cfRule>
  </x:conditionalFormatting>
  <x:conditionalFormatting sqref="AE7:AE196">
    <x:cfRule type="cellIs" dxfId="14" priority="15" operator="lessThan">
      <x:formula>0</x:formula>
    </x:cfRule>
    <x:cfRule type="cellIs" dxfId="15" priority="16" operator="greaterThan">
      <x:formula>0</x:formula>
    </x:cfRule>
  </x:conditionalFormatting>
  <x:conditionalFormatting sqref="AF7:AF196">
    <x:cfRule type="cellIs" dxfId="16" priority="17" operator="lessThan">
      <x:formula>0</x:formula>
    </x:cfRule>
    <x:cfRule type="cellIs" dxfId="17" priority="18" operator="greater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507a0bae83e401b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14" hidden="0" customWidth="1"/>
    <x:col min="2" max="2" width="23" hidden="0" customWidth="1"/>
    <x:col min="3" max="3" width="14" hidden="0" customWidth="1"/>
    <x:col min="4" max="4" width="14" hidden="0" customWidth="1"/>
    <x:col min="5" max="5" width="14" hidden="0" customWidth="1"/>
    <x:col min="6" max="6" width="26" hidden="0" customWidth="1"/>
    <x:col min="7" max="7" width="100" hidden="0" customWidth="1"/>
    <x:col min="8" max="8" width="44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</x:row>
    <x:row r="2">
      <x:c r="A2" s="3" t="str">
        <x:v>推送内容与发送证据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</x:row>
    <x:row r="4">
      <x:c r="A4" s="2" t="str">
        <x:v>内容由冻结 Event 与当前一致模板 复原，未读取 PushPlus 历史原文；不代表逐条微信收件成功。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</x:row>
    <x:row r="5">
      <x:c r="A5" s="2" t="str">
        <x:v>来源：历史快照及共享Runtime状态精确时间匹配；Event146另有STATUS记录owner确认，仅限该条。其余逐条结果未留存。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</x:row>
    <x:row r="6" ht="36" customHeight="1">
      <x:c r="A6" s="9" t="str">
        <x:v>Event ID</x:v>
      </x:c>
      <x:c r="B6" s="9" t="str">
        <x:v>发送时间(北京时间)</x:v>
      </x:c>
      <x:c r="C6" s="9" t="str">
        <x:v>品种</x:v>
      </x:c>
      <x:c r="D6" s="9" t="str">
        <x:v>策略</x:v>
      </x:c>
      <x:c r="E6" s="9" t="str">
        <x:v>周期</x:v>
      </x:c>
      <x:c r="F6" s="9" t="str">
        <x:v>发送证据</x:v>
      </x:c>
      <x:c r="G6" s="9" t="str">
        <x:v>推送正文（按模板复原）</x:v>
      </x:c>
      <x:c r="H6" s="9" t="str">
        <x:v>公式复核口径</x:v>
      </x:c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</x:row>
    <x:row r="7" ht="102" customHeight="1">
      <x:c r="A7" s="2" t="n">
        <x:v>27</x:v>
      </x:c>
      <x:c r="B7" s="10" t="n">
        <x:v>46269.88549768519</x:v>
      </x:c>
      <x:c r="C7" s="2" t="str">
        <x:v>焦煤</x:v>
      </x:c>
      <x:c r="D7" s="2" t="str">
        <x:v>火天大有</x:v>
      </x:c>
      <x:c r="E7" s="2" t="str">
        <x:v>5m</x:v>
      </x:c>
      <x:c r="F7" s="2" t="str">
        <x:v>逐条结果未留存</x:v>
      </x:c>
      <x:c r="G7" s="14" t="str">
        <x:v>火天大有：焦煤（JM）
合约：JM2701　周期：5m
观察：买入观察
Bar：2026-09-04T13:15:00+00:00
仅供研究观察，不是交易指令。</x:v>
      </x:c>
      <x:c r="H7" s="14" t="str">
        <x:v>本次未复算；前次：当前输入复算一致；原始逐条输入快照未存档</x:v>
      </x:c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</x:row>
    <x:row r="8" ht="102" customHeight="1">
      <x:c r="A8" s="2" t="n">
        <x:v>28</x:v>
      </x:c>
      <x:c r="B8" s="10" t="n">
        <x:v>46272.385659722226</x:v>
      </x:c>
      <x:c r="C8" s="2" t="str">
        <x:v>焦煤</x:v>
      </x:c>
      <x:c r="D8" s="2" t="str">
        <x:v>火天大有</x:v>
      </x:c>
      <x:c r="E8" s="2" t="str">
        <x:v>5m</x:v>
      </x:c>
      <x:c r="F8" s="2" t="str">
        <x:v>逐条结果未留存</x:v>
      </x:c>
      <x:c r="G8" s="14" t="str">
        <x:v>火天大有：焦煤（JM）
合约：JM2701　周期：5m
观察：买入观察
Bar：2026-09-07T01:15:00+00:00
仅供研究观察，不是交易指令。</x:v>
      </x:c>
      <x:c r="H8" s="14" t="str">
        <x:v>本次未复算；前次：当前输入复算一致；原始逐条输入快照未存档</x:v>
      </x:c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</x:row>
    <x:row r="9" ht="102" customHeight="1">
      <x:c r="A9" s="2" t="n">
        <x:v>29</x:v>
      </x:c>
      <x:c r="B9" s="10" t="n">
        <x:v>46272.4065162037</x:v>
      </x:c>
      <x:c r="C9" s="2" t="str">
        <x:v>焦煤</x:v>
      </x:c>
      <x:c r="D9" s="2" t="str">
        <x:v>火天大有</x:v>
      </x:c>
      <x:c r="E9" s="2" t="str">
        <x:v>15m</x:v>
      </x:c>
      <x:c r="F9" s="2" t="str">
        <x:v>逐条结果未留存</x:v>
      </x:c>
      <x:c r="G9" s="14" t="str">
        <x:v>火天大有：焦煤（JM）
合约：JM2701　周期：15m
观察：买入观察
Bar：2026-09-07T01:45:00+00:00
仅供研究观察，不是交易指令。</x:v>
      </x:c>
      <x:c r="H9" s="14" t="str">
        <x:v>本次未复算；前次：当前输入复算一致；原始逐条输入快照未存档</x:v>
      </x:c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  <x:c r="AO9" s="2"/>
      <x:c r="AP9" s="2"/>
    </x:row>
    <x:row r="10" ht="102" customHeight="1">
      <x:c r="A10" s="2" t="n">
        <x:v>30</x:v>
      </x:c>
      <x:c r="B10" s="10" t="n">
        <x:v>46272.88550925926</x:v>
      </x:c>
      <x:c r="C10" s="2" t="str">
        <x:v>短纤</x:v>
      </x:c>
      <x:c r="D10" s="2" t="str">
        <x:v>苏冰</x:v>
      </x:c>
      <x:c r="E10" s="2" t="str">
        <x:v>15m</x:v>
      </x:c>
      <x:c r="F10" s="2" t="str">
        <x:v>逐条结果未留存</x:v>
      </x:c>
      <x:c r="G10" s="14" t="str">
        <x:v>【苏冰预警】短纤（PF）
合约：PF2611　周期：15m
空头预警：MACD 死叉，收盘价位于 EMA21 下方
Bar：2026-09-07T13:15:00+00:00
请打开图表复核；仅供研究观察，不是交易指令。</x:v>
      </x:c>
      <x:c r="H10" s="14" t="str">
        <x:v>本次未复算；前次：前次复算一致，本次未重算；原始逐条输入快照未存档</x:v>
      </x:c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  <x:c r="AL10" s="2"/>
      <x:c r="AM10" s="2"/>
      <x:c r="AN10" s="2"/>
      <x:c r="AO10" s="2"/>
      <x:c r="AP10" s="2"/>
    </x:row>
    <x:row r="11" ht="102" customHeight="1">
      <x:c r="A11" s="2" t="n">
        <x:v>31</x:v>
      </x:c>
      <x:c r="B11" s="10" t="n">
        <x:v>46272.88559027778</x:v>
      </x:c>
      <x:c r="C11" s="2" t="str">
        <x:v>白银</x:v>
      </x:c>
      <x:c r="D11" s="2" t="str">
        <x:v>苏冰</x:v>
      </x:c>
      <x:c r="E11" s="2" t="str">
        <x:v>15m</x:v>
      </x:c>
      <x:c r="F11" s="2" t="str">
        <x:v>逐条结果未留存</x:v>
      </x:c>
      <x:c r="G11" s="14" t="str">
        <x:v>【苏冰预警】白银（AG）
合约：AG2610　周期：15m
多头预警：MACD 金叉，收盘价位于 EMA21 上方
Bar：2026-09-07T13:15:00+00:00
请打开图表复核；仅供研究观察，不是交易指令。</x:v>
      </x:c>
      <x:c r="H11" s="14" t="str">
        <x:v>本次未复算；前次：前次复算一致，本次未重算；原始逐条输入快照未存档</x:v>
      </x:c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  <x:c r="AO11" s="2"/>
      <x:c r="AP11" s="2"/>
    </x:row>
    <x:row r="12" ht="102" customHeight="1">
      <x:c r="A12" s="2" t="n">
        <x:v>32</x:v>
      </x:c>
      <x:c r="B12" s="10" t="n">
        <x:v>46272.8959837963</x:v>
      </x:c>
      <x:c r="C12" s="2" t="str">
        <x:v>铝</x:v>
      </x:c>
      <x:c r="D12" s="2" t="str">
        <x:v>苏冰</x:v>
      </x:c>
      <x:c r="E12" s="2" t="str">
        <x:v>15m</x:v>
      </x:c>
      <x:c r="F12" s="2" t="str">
        <x:v>逐条结果未留存</x:v>
      </x:c>
      <x:c r="G12" s="14" t="str">
        <x:v>【苏冰预警】铝（AL）
合约：AL2610　周期：15m
空头预警：MACD 死叉，收盘价位于 EMA21 下方
Bar：2026-09-07T13:30:00+00:00
请打开图表复核；仅供研究观察，不是交易指令。</x:v>
      </x:c>
      <x:c r="H12" s="14" t="str">
        <x:v>本次未复算；前次：前次复算一致，本次未重算；原始逐条输入快照未存档</x:v>
      </x:c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  <x:c r="AO12" s="2"/>
      <x:c r="AP12" s="2"/>
    </x:row>
    <x:row r="13" ht="102" customHeight="1">
      <x:c r="A13" s="2" t="n">
        <x:v>33</x:v>
      </x:c>
      <x:c r="B13" s="10" t="n">
        <x:v>46272.91680555556</x:v>
      </x:c>
      <x:c r="C13" s="2" t="str">
        <x:v>铝</x:v>
      </x:c>
      <x:c r="D13" s="2" t="str">
        <x:v>苏冰</x:v>
      </x:c>
      <x:c r="E13" s="2" t="str">
        <x:v>15m</x:v>
      </x:c>
      <x:c r="F13" s="2" t="str">
        <x:v>逐条结果未留存</x:v>
      </x:c>
      <x:c r="G13" s="14" t="str">
        <x:v>【苏冰预警】铝（AL）
合约：AL2610　周期：15m
多头预警：MACD 金叉，收盘价位于 EMA21 上方
Bar：2026-09-07T14:00:00+00:00
请打开图表复核；仅供研究观察，不是交易指令。</x:v>
      </x:c>
      <x:c r="H13" s="14" t="str">
        <x:v>本次未复算；前次：前次复算一致，本次未重算；原始逐条输入快照未存档</x:v>
      </x:c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  <x:c r="AO13" s="2"/>
      <x:c r="AP13" s="2"/>
    </x:row>
    <x:row r="14" ht="102" customHeight="1">
      <x:c r="A14" s="2" t="n">
        <x:v>34</x:v>
      </x:c>
      <x:c r="B14" s="10" t="n">
        <x:v>46272.948217592595</x:v>
      </x:c>
      <x:c r="C14" s="2" t="str">
        <x:v>焦煤</x:v>
      </x:c>
      <x:c r="D14" s="2" t="str">
        <x:v>火天大有</x:v>
      </x:c>
      <x:c r="E14" s="2" t="str">
        <x:v>5m</x:v>
      </x:c>
      <x:c r="F14" s="2" t="str">
        <x:v>逐条结果未留存</x:v>
      </x:c>
      <x:c r="G14" s="14" t="str">
        <x:v>火天大有：焦煤（JM）
合约：JM2701　周期：5m
观察：卖出观察
Bar：2026-09-07T14:45:00+00:00
仅供研究观察，不是交易指令。</x:v>
      </x:c>
      <x:c r="H14" s="14" t="str">
        <x:v>本次未复算；前次：当前输入复算一致；原始逐条输入快照未存档</x:v>
      </x:c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  <x:c r="AO14" s="2"/>
      <x:c r="AP14" s="2"/>
    </x:row>
    <x:row r="15" ht="102" customHeight="1">
      <x:c r="A15" s="2" t="n">
        <x:v>35</x:v>
      </x:c>
      <x:c r="B15" s="10" t="n">
        <x:v>46273.04173611111</x:v>
      </x:c>
      <x:c r="C15" s="2" t="str">
        <x:v>镍</x:v>
      </x:c>
      <x:c r="D15" s="2" t="str">
        <x:v>苏冰</x:v>
      </x:c>
      <x:c r="E15" s="2" t="str">
        <x:v>15m</x:v>
      </x:c>
      <x:c r="F15" s="2" t="str">
        <x:v>逐条结果未留存</x:v>
      </x:c>
      <x:c r="G15" s="14" t="str">
        <x:v>【苏冰预警】镍（NI）
合约：NI2610　周期：15m
空头预警：MACD 死叉，收盘价位于 EMA21 下方
Bar：2026-09-07T17:00:00+00:00
请打开图表复核；仅供研究观察，不是交易指令。</x:v>
      </x:c>
      <x:c r="H15" s="14" t="str">
        <x:v>本次未复算；前次：前次复算一致，本次未重算；原始逐条输入快照未存档</x:v>
      </x:c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  <x:c r="AO15" s="2"/>
      <x:c r="AP15" s="2"/>
    </x:row>
    <x:row r="16" ht="102" customHeight="1">
      <x:c r="A16" s="2" t="n">
        <x:v>36</x:v>
      </x:c>
      <x:c r="B16" s="10" t="n">
        <x:v>46273.08336805556</x:v>
      </x:c>
      <x:c r="C16" s="2" t="str">
        <x:v>白银</x:v>
      </x:c>
      <x:c r="D16" s="2" t="str">
        <x:v>苏冰</x:v>
      </x:c>
      <x:c r="E16" s="2" t="str">
        <x:v>15m</x:v>
      </x:c>
      <x:c r="F16" s="2" t="str">
        <x:v>逐条结果未留存</x:v>
      </x:c>
      <x:c r="G16" s="14" t="str">
        <x:v>【苏冰预警】白银（AG）
合约：AG2610　周期：15m
空头预警：MACD 死叉，收盘价位于 EMA21 下方
Bar：2026-09-07T18:00:00+00:00
请打开图表复核；仅供研究观察，不是交易指令。</x:v>
      </x:c>
      <x:c r="H16" s="14" t="str">
        <x:v>本次未复算；前次：前次复算一致，本次未重算；原始逐条输入快照未存档</x:v>
      </x:c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  <x:c r="AO16" s="2"/>
      <x:c r="AP16" s="2"/>
    </x:row>
    <x:row r="17" ht="102" customHeight="1">
      <x:c r="A17" s="2" t="n">
        <x:v>37</x:v>
      </x:c>
      <x:c r="B17" s="10" t="n">
        <x:v>46273.09378472222</x:v>
      </x:c>
      <x:c r="C17" s="2" t="str">
        <x:v>原油</x:v>
      </x:c>
      <x:c r="D17" s="2" t="str">
        <x:v>苏冰</x:v>
      </x:c>
      <x:c r="E17" s="2" t="str">
        <x:v>15m</x:v>
      </x:c>
      <x:c r="F17" s="2" t="str">
        <x:v>逐条结果未留存</x:v>
      </x:c>
      <x:c r="G17" s="14" t="str">
        <x:v>【苏冰预警】原油（SC）
合约：SC2610　周期：15m
多头预警：MACD 金叉，收盘价位于 EMA21 上方
Bar：2026-09-07T18:15:00+00:00
请打开图表复核；仅供研究观察，不是交易指令。</x:v>
      </x:c>
      <x:c r="H17" s="14" t="str">
        <x:v>本次未复算；前次：前次复算一致，本次未重算；原始逐条输入快照未存档</x:v>
      </x:c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  <x:c r="AP17" s="2"/>
    </x:row>
    <x:row r="18" ht="102" customHeight="1">
      <x:c r="A18" s="2" t="n">
        <x:v>38</x:v>
      </x:c>
      <x:c r="B18" s="10" t="n">
        <x:v>46273.0937962963</x:v>
      </x:c>
      <x:c r="C18" s="2" t="str">
        <x:v>黄金</x:v>
      </x:c>
      <x:c r="D18" s="2" t="str">
        <x:v>苏冰</x:v>
      </x:c>
      <x:c r="E18" s="2" t="str">
        <x:v>15m</x:v>
      </x:c>
      <x:c r="F18" s="2" t="str">
        <x:v>逐条结果未留存</x:v>
      </x:c>
      <x:c r="G18" s="14" t="str">
        <x:v>【苏冰预警】黄金（AU）
合约：AU2610　周期：15m
空头预警：MACD 死叉，收盘价位于 EMA21 下方
Bar：2026-09-07T18:15:00+00:00
请打开图表复核；仅供研究观察，不是交易指令。</x:v>
      </x:c>
      <x:c r="H18" s="14" t="str">
        <x:v>本次未复算；前次：前次复算一致，本次未重算；原始逐条输入快照未存档</x:v>
      </x:c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  <x:c r="AO18" s="2"/>
      <x:c r="AP18" s="2"/>
    </x:row>
    <x:row r="19" ht="102" customHeight="1">
      <x:c r="A19" s="2" t="n">
        <x:v>39</x:v>
      </x:c>
      <x:c r="B19" s="10" t="n">
        <x:v>46273.38553240741</x:v>
      </x:c>
      <x:c r="C19" s="2" t="str">
        <x:v>白糖</x:v>
      </x:c>
      <x:c r="D19" s="2" t="str">
        <x:v>苏冰</x:v>
      </x:c>
      <x:c r="E19" s="2" t="str">
        <x:v>15m</x:v>
      </x:c>
      <x:c r="F19" s="2" t="str">
        <x:v>逐条结果未留存</x:v>
      </x:c>
      <x:c r="G19" s="14" t="str">
        <x:v>【苏冰预警】白糖（SR）
合约：SR2701　周期：15m
多头预警：MACD 金叉，收盘价位于 EMA21 上方
Bar：2026-09-08T01:15:00+00:00
请打开图表复核；仅供研究观察，不是交易指令。</x:v>
      </x:c>
      <x:c r="H19" s="14" t="str">
        <x:v>本次未复算；前次：前次复算一致，本次未重算；原始逐条输入快照未存档</x:v>
      </x:c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  <x:c r="AO19" s="2"/>
      <x:c r="AP19" s="2"/>
    </x:row>
    <x:row r="20" ht="102" customHeight="1">
      <x:c r="A20" s="2" t="n">
        <x:v>40</x:v>
      </x:c>
      <x:c r="B20" s="10" t="n">
        <x:v>46273.38555555556</x:v>
      </x:c>
      <x:c r="C20" s="2" t="str">
        <x:v>白银</x:v>
      </x:c>
      <x:c r="D20" s="2" t="str">
        <x:v>苏冰</x:v>
      </x:c>
      <x:c r="E20" s="2" t="str">
        <x:v>15m</x:v>
      </x:c>
      <x:c r="F20" s="2" t="str">
        <x:v>逐条结果未留存</x:v>
      </x:c>
      <x:c r="G20" s="14" t="str">
        <x:v>【苏冰预警】白银（AG）
合约：AG2610　周期：15m
多头预警：MACD 金叉，收盘价位于 EMA21 上方
Bar：2026-09-08T01:15:00+00:00
请打开图表复核；仅供研究观察，不是交易指令。</x:v>
      </x:c>
      <x:c r="H20" s="14" t="str">
        <x:v>本次未复算；前次：前次复算一致，本次未重算；原始逐条输入快照未存档</x:v>
      </x:c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  <x:c r="AO20" s="2"/>
      <x:c r="AP20" s="2"/>
    </x:row>
    <x:row r="21" ht="102" customHeight="1">
      <x:c r="A21" s="2" t="n">
        <x:v>41</x:v>
      </x:c>
      <x:c r="B21" s="10" t="n">
        <x:v>46273.3855787037</x:v>
      </x:c>
      <x:c r="C21" s="2" t="str">
        <x:v>黄金</x:v>
      </x:c>
      <x:c r="D21" s="2" t="str">
        <x:v>苏冰</x:v>
      </x:c>
      <x:c r="E21" s="2" t="str">
        <x:v>15m</x:v>
      </x:c>
      <x:c r="F21" s="2" t="str">
        <x:v>逐条结果未留存</x:v>
      </x:c>
      <x:c r="G21" s="14" t="str">
        <x:v>【苏冰预警】黄金（AU）
合约：AU2610　周期：15m
多头预警：MACD 金叉，收盘价位于 EMA21 上方
Bar：2026-09-08T01:15:00+00:00
请打开图表复核；仅供研究观察，不是交易指令。</x:v>
      </x:c>
      <x:c r="H21" s="14" t="str">
        <x:v>本次未复算；前次：前次复算一致，本次未重算；原始逐条输入快照未存档</x:v>
      </x:c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  <x:c r="AP21" s="2"/>
    </x:row>
    <x:row r="22" ht="102" customHeight="1">
      <x:c r="A22" s="2" t="n">
        <x:v>42</x:v>
      </x:c>
      <x:c r="B22" s="10" t="n">
        <x:v>46273.385671296295</x:v>
      </x:c>
      <x:c r="C22" s="2" t="str">
        <x:v>乙二醇</x:v>
      </x:c>
      <x:c r="D22" s="2" t="str">
        <x:v>苏冰</x:v>
      </x:c>
      <x:c r="E22" s="2" t="str">
        <x:v>15m</x:v>
      </x:c>
      <x:c r="F22" s="2" t="str">
        <x:v>逐条结果未留存</x:v>
      </x:c>
      <x:c r="G22" s="14" t="str">
        <x:v>【苏冰预警】乙二醇（EG）
合约：EG2610　周期：15m
空头预警：MACD 死叉，收盘价位于 EMA21 下方
Bar：2026-09-08T01:15:00+00:00
请打开图表复核；仅供研究观察，不是交易指令。</x:v>
      </x:c>
      <x:c r="H22" s="14" t="str">
        <x:v>本次未复算；前次：前次复算一致，本次未重算；原始逐条输入快照未存档</x:v>
      </x:c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</x:row>
    <x:row r="23" ht="102" customHeight="1">
      <x:c r="A23" s="2" t="n">
        <x:v>43</x:v>
      </x:c>
      <x:c r="B23" s="10" t="n">
        <x:v>46273.38575231482</x:v>
      </x:c>
      <x:c r="C23" s="2" t="str">
        <x:v>铂金</x:v>
      </x:c>
      <x:c r="D23" s="2" t="str">
        <x:v>苏冰</x:v>
      </x:c>
      <x:c r="E23" s="2" t="str">
        <x:v>15m</x:v>
      </x:c>
      <x:c r="F23" s="2" t="str">
        <x:v>逐条结果未留存</x:v>
      </x:c>
      <x:c r="G23" s="14" t="str">
        <x:v>【苏冰预警】铂金（PT）
合约：PT2610　周期：15m
多头预警：MACD 金叉，收盘价位于 EMA21 上方
Bar：2026-09-08T01:15:00+00:00
请打开图表复核；仅供研究观察，不是交易指令。</x:v>
      </x:c>
      <x:c r="H23" s="14" t="str">
        <x:v>本次未复算；前次：前次复算一致，本次未重算；原始逐条输入快照未存档</x:v>
      </x:c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  <x:c r="AP23" s="2"/>
    </x:row>
    <x:row r="24" ht="102" customHeight="1">
      <x:c r="A24" s="2" t="n">
        <x:v>44</x:v>
      </x:c>
      <x:c r="B24" s="10" t="n">
        <x:v>46273.39592592593</x:v>
      </x:c>
      <x:c r="C24" s="2" t="str">
        <x:v>菜粕</x:v>
      </x:c>
      <x:c r="D24" s="2" t="str">
        <x:v>苏冰</x:v>
      </x:c>
      <x:c r="E24" s="2" t="str">
        <x:v>15m</x:v>
      </x:c>
      <x:c r="F24" s="2" t="str">
        <x:v>逐条结果未留存</x:v>
      </x:c>
      <x:c r="G24" s="14" t="str">
        <x:v>【苏冰预警】菜粕（RM）
合约：RM2611　周期：15m
空头预警：MACD 死叉，收盘价位于 EMA21 下方
Bar：2026-09-08T01:30:00+00:00
请打开图表复核；仅供研究观察，不是交易指令。</x:v>
      </x:c>
      <x:c r="H24" s="14" t="str">
        <x:v>本次未复算；前次：前次复算一致，本次未重算；原始逐条输入快照未存档</x:v>
      </x:c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  <x:c r="AP24" s="2"/>
    </x:row>
    <x:row r="25" ht="102" customHeight="1">
      <x:c r="A25" s="2" t="n">
        <x:v>45</x:v>
      </x:c>
      <x:c r="B25" s="10" t="n">
        <x:v>46273.396053240744</x:v>
      </x:c>
      <x:c r="C25" s="2" t="str">
        <x:v>原油</x:v>
      </x:c>
      <x:c r="D25" s="2" t="str">
        <x:v>苏冰</x:v>
      </x:c>
      <x:c r="E25" s="2" t="str">
        <x:v>15m</x:v>
      </x:c>
      <x:c r="F25" s="2" t="str">
        <x:v>逐条结果未留存</x:v>
      </x:c>
      <x:c r="G25" s="14" t="str">
        <x:v>【苏冰预警】原油（SC）
合约：SC2610　周期：15m
空头预警：MACD 死叉，收盘价位于 EMA21 下方
Bar：2026-09-08T01:30:00+00:00
请打开图表复核；仅供研究观察，不是交易指令。</x:v>
      </x:c>
      <x:c r="H25" s="14" t="str">
        <x:v>本次未复算；前次：前次复算一致，本次未重算；原始逐条输入快照未存档</x:v>
      </x:c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  <x:c r="AO25" s="2"/>
      <x:c r="AP25" s="2"/>
    </x:row>
    <x:row r="26" ht="102" customHeight="1">
      <x:c r="A26" s="2" t="n">
        <x:v>46</x:v>
      </x:c>
      <x:c r="B26" s="10" t="n">
        <x:v>46273.39611111111</x:v>
      </x:c>
      <x:c r="C26" s="2" t="str">
        <x:v>铜</x:v>
      </x:c>
      <x:c r="D26" s="2" t="str">
        <x:v>苏冰</x:v>
      </x:c>
      <x:c r="E26" s="2" t="str">
        <x:v>15m</x:v>
      </x:c>
      <x:c r="F26" s="2" t="str">
        <x:v>逐条结果未留存</x:v>
      </x:c>
      <x:c r="G26" s="14" t="str">
        <x:v>【苏冰预警】铜（CU）
合约：CU2610　周期：15m
多头预警：MACD 金叉，收盘价位于 EMA21 上方
Bar：2026-09-08T01:30:00+00:00
请打开图表复核；仅供研究观察，不是交易指令。</x:v>
      </x:c>
      <x:c r="H26" s="14" t="str">
        <x:v>本次未复算；前次：前次复算一致，本次未重算；原始逐条输入快照未存档</x:v>
      </x:c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</x:row>
    <x:row r="27" ht="102" customHeight="1">
      <x:c r="A27" s="2" t="n">
        <x:v>47</x:v>
      </x:c>
      <x:c r="B27" s="10" t="n">
        <x:v>46273.396157407406</x:v>
      </x:c>
      <x:c r="C27" s="2" t="str">
        <x:v>锡</x:v>
      </x:c>
      <x:c r="D27" s="2" t="str">
        <x:v>苏冰</x:v>
      </x:c>
      <x:c r="E27" s="2" t="str">
        <x:v>15m</x:v>
      </x:c>
      <x:c r="F27" s="2" t="str">
        <x:v>逐条结果未留存</x:v>
      </x:c>
      <x:c r="G27" s="14" t="str">
        <x:v>【苏冰预警】锡（SN）
合约：SN2610　周期：15m
多头预警：MACD 金叉，收盘价位于 EMA21 上方
Bar：2026-09-08T01:30:00+00:00
请打开图表复核；仅供研究观察，不是交易指令。</x:v>
      </x:c>
      <x:c r="H27" s="14" t="str">
        <x:v>本次未复算；前次：前次复算一致，本次未重算；原始逐条输入快照未存档</x:v>
      </x:c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</x:row>
    <x:row r="28" ht="102" customHeight="1">
      <x:c r="A28" s="2" t="n">
        <x:v>48</x:v>
      </x:c>
      <x:c r="B28" s="10" t="n">
        <x:v>46273.39618055556</x:v>
      </x:c>
      <x:c r="C28" s="2" t="str">
        <x:v>锌</x:v>
      </x:c>
      <x:c r="D28" s="2" t="str">
        <x:v>苏冰</x:v>
      </x:c>
      <x:c r="E28" s="2" t="str">
        <x:v>15m</x:v>
      </x:c>
      <x:c r="F28" s="2" t="str">
        <x:v>逐条结果未留存</x:v>
      </x:c>
      <x:c r="G28" s="14" t="str">
        <x:v>【苏冰预警】锌（ZN）
合约：ZN2610　周期：15m
多头预警：MACD 金叉，收盘价位于 EMA21 上方
Bar：2026-09-08T01:30:00+00:00
请打开图表复核；仅供研究观察，不是交易指令。</x:v>
      </x:c>
      <x:c r="H28" s="14" t="str">
        <x:v>本次未复算；前次：前次复算一致，本次未重算；原始逐条输入快照未存档</x:v>
      </x:c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</x:row>
    <x:row r="29" ht="102" customHeight="1">
      <x:c r="A29" s="2" t="n">
        <x:v>49</x:v>
      </x:c>
      <x:c r="B29" s="10" t="n">
        <x:v>46273.39622685185</x:v>
      </x:c>
      <x:c r="C29" s="2" t="str">
        <x:v>液化石油气</x:v>
      </x:c>
      <x:c r="D29" s="2" t="str">
        <x:v>苏冰</x:v>
      </x:c>
      <x:c r="E29" s="2" t="str">
        <x:v>15m</x:v>
      </x:c>
      <x:c r="F29" s="2" t="str">
        <x:v>逐条结果未留存</x:v>
      </x:c>
      <x:c r="G29" s="14" t="str">
        <x:v>【苏冰预警】液化石油气（PG）
合约：PG2610　周期：15m
空头预警：MACD 死叉，收盘价位于 EMA21 下方
Bar：2026-09-08T01:30:00+00:00
请打开图表复核；仅供研究观察，不是交易指令。</x:v>
      </x:c>
      <x:c r="H29" s="14" t="str">
        <x:v>本次未复算；前次：前次复算一致，本次未重算；原始逐条输入快照未存档</x:v>
      </x:c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</x:row>
    <x:row r="30" ht="102" customHeight="1">
      <x:c r="A30" s="2" t="n">
        <x:v>50</x:v>
      </x:c>
      <x:c r="B30" s="10" t="n">
        <x:v>46273.39625</x:v>
      </x:c>
      <x:c r="C30" s="2" t="str">
        <x:v>钯金</x:v>
      </x:c>
      <x:c r="D30" s="2" t="str">
        <x:v>苏冰</x:v>
      </x:c>
      <x:c r="E30" s="2" t="str">
        <x:v>15m</x:v>
      </x:c>
      <x:c r="F30" s="2" t="str">
        <x:v>逐条结果未留存</x:v>
      </x:c>
      <x:c r="G30" s="14" t="str">
        <x:v>【苏冰预警】钯金（PD）
合约：PD2610　周期：15m
多头预警：MACD 金叉，收盘价位于 EMA21 上方
Bar：2026-09-08T01:30:00+00:00
请打开图表复核；仅供研究观察，不是交易指令。</x:v>
      </x:c>
      <x:c r="H30" s="14" t="str">
        <x:v>本次未复算；前次：前次复算一致，本次未重算；原始逐条输入快照未存档</x:v>
      </x:c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</x:row>
    <x:row r="31" ht="102" customHeight="1">
      <x:c r="A31" s="2" t="n">
        <x:v>51</x:v>
      </x:c>
      <x:c r="B31" s="10" t="n">
        <x:v>46273.396261574075</x:v>
      </x:c>
      <x:c r="C31" s="2" t="str">
        <x:v>红枣</x:v>
      </x:c>
      <x:c r="D31" s="2" t="str">
        <x:v>苏冰</x:v>
      </x:c>
      <x:c r="E31" s="2" t="str">
        <x:v>15m</x:v>
      </x:c>
      <x:c r="F31" s="2" t="str">
        <x:v>逐条结果未留存</x:v>
      </x:c>
      <x:c r="G31" s="14" t="str">
        <x:v>【苏冰预警】红枣（CJ）
合约：CJ2701　周期：15m
多头预警：MACD 金叉，收盘价位于 EMA21 上方
Bar：2026-09-08T01:30:00+00:00
请打开图表复核；仅供研究观察，不是交易指令。</x:v>
      </x:c>
      <x:c r="H31" s="14" t="str">
        <x:v>本次未复算；前次：前次复算一致，本次未重算；原始逐条输入快照未存档</x:v>
      </x:c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</x:row>
    <x:row r="32" ht="102" customHeight="1">
      <x:c r="A32" s="2" t="n">
        <x:v>52</x:v>
      </x:c>
      <x:c r="B32" s="10" t="n">
        <x:v>46273.39627314815</x:v>
      </x:c>
      <x:c r="C32" s="2" t="str">
        <x:v>花生</x:v>
      </x:c>
      <x:c r="D32" s="2" t="str">
        <x:v>苏冰</x:v>
      </x:c>
      <x:c r="E32" s="2" t="str">
        <x:v>15m</x:v>
      </x:c>
      <x:c r="F32" s="2" t="str">
        <x:v>逐条结果未留存</x:v>
      </x:c>
      <x:c r="G32" s="14" t="str">
        <x:v>【苏冰预警】花生（PK）
合约：PK2611　周期：15m
多头预警：MACD 金叉，收盘价位于 EMA21 上方
Bar：2026-09-08T01:30:00+00:00
请打开图表复核；仅供研究观察，不是交易指令。</x:v>
      </x:c>
      <x:c r="H32" s="14" t="str">
        <x:v>本次未复算；前次：前次复算一致，本次未重算；原始逐条输入快照未存档</x:v>
      </x:c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</x:row>
    <x:row r="33" ht="102" customHeight="1">
      <x:c r="A33" s="2" t="n">
        <x:v>53</x:v>
      </x:c>
      <x:c r="B33" s="10" t="n">
        <x:v>46273.3962962963</x:v>
      </x:c>
      <x:c r="C33" s="2" t="str">
        <x:v>生猪</x:v>
      </x:c>
      <x:c r="D33" s="2" t="str">
        <x:v>苏冰</x:v>
      </x:c>
      <x:c r="E33" s="2" t="str">
        <x:v>15m</x:v>
      </x:c>
      <x:c r="F33" s="2" t="str">
        <x:v>逐条结果未留存</x:v>
      </x:c>
      <x:c r="G33" s="14" t="str">
        <x:v>【苏冰预警】生猪（LH）
合约：LH2611　周期：15m
空头预警：MACD 死叉，收盘价位于 EMA21 下方
Bar：2026-09-08T01:30:00+00:00
请打开图表复核；仅供研究观察，不是交易指令。</x:v>
      </x:c>
      <x:c r="H33" s="14" t="str">
        <x:v>本次未复算；前次：前次复算一致，本次未重算；原始逐条输入快照未存档</x:v>
      </x:c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</x:row>
    <x:row r="34" ht="102" customHeight="1">
      <x:c r="A34" s="2" t="n">
        <x:v>54</x:v>
      </x:c>
      <x:c r="B34" s="10" t="n">
        <x:v>46273.40628472222</x:v>
      </x:c>
      <x:c r="C34" s="2" t="str">
        <x:v>纯碱</x:v>
      </x:c>
      <x:c r="D34" s="2" t="str">
        <x:v>苏冰</x:v>
      </x:c>
      <x:c r="E34" s="2" t="str">
        <x:v>15m</x:v>
      </x:c>
      <x:c r="F34" s="2" t="str">
        <x:v>逐条结果未留存</x:v>
      </x:c>
      <x:c r="G34" s="14" t="str">
        <x:v>【苏冰预警】纯碱（SA）
合约：SA2701　周期：15m
多头预警：MACD 金叉，收盘价位于 EMA21 上方
Bar：2026-09-08T01:45:00+00:00
请打开图表复核；仅供研究观察，不是交易指令。</x:v>
      </x:c>
      <x:c r="H34" s="14" t="str">
        <x:v>本次未复算；前次：前次复算一致，本次未重算；原始逐条输入快照未存档</x:v>
      </x:c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</x:row>
    <x:row r="35" ht="102" customHeight="1">
      <x:c r="A35" s="2" t="n">
        <x:v>55</x:v>
      </x:c>
      <x:c r="B35" s="10" t="n">
        <x:v>46273.406319444446</x:v>
      </x:c>
      <x:c r="C35" s="2" t="str">
        <x:v>短纤</x:v>
      </x:c>
      <x:c r="D35" s="2" t="str">
        <x:v>苏冰</x:v>
      </x:c>
      <x:c r="E35" s="2" t="str">
        <x:v>15m</x:v>
      </x:c>
      <x:c r="F35" s="2" t="str">
        <x:v>逐条结果未留存</x:v>
      </x:c>
      <x:c r="G35" s="14" t="str">
        <x:v>【苏冰预警】短纤（PF）
合约：PF2611　周期：15m
多头预警：MACD 金叉，收盘价位于 EMA21 上方
Bar：2026-09-08T01:45:00+00:00
请打开图表复核；仅供研究观察，不是交易指令。</x:v>
      </x:c>
      <x:c r="H35" s="14" t="str">
        <x:v>本次未复算；前次：前次复算一致，本次未重算；原始逐条输入快照未存档</x:v>
      </x:c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</x:row>
    <x:row r="36" ht="102" customHeight="1">
      <x:c r="A36" s="2" t="n">
        <x:v>56</x:v>
      </x:c>
      <x:c r="B36" s="10" t="n">
        <x:v>46273.406319444446</x:v>
      </x:c>
      <x:c r="C36" s="2" t="str">
        <x:v>对二甲苯</x:v>
      </x:c>
      <x:c r="D36" s="2" t="str">
        <x:v>苏冰</x:v>
      </x:c>
      <x:c r="E36" s="2" t="str">
        <x:v>15m</x:v>
      </x:c>
      <x:c r="F36" s="2" t="str">
        <x:v>逐条结果未留存</x:v>
      </x:c>
      <x:c r="G36" s="14" t="str">
        <x:v>【苏冰预警】对二甲苯（PX）
合约：PX2611　周期：15m
多头预警：MACD 金叉，收盘价位于 EMA21 上方
Bar：2026-09-08T01:45:00+00:00
请打开图表复核；仅供研究观察，不是交易指令。</x:v>
      </x:c>
      <x:c r="H36" s="14" t="str">
        <x:v>本次未复算；前次：前次复算一致，本次未重算；原始逐条输入快照未存档</x:v>
      </x:c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</x:row>
    <x:row r="37" ht="102" customHeight="1">
      <x:c r="A37" s="2" t="n">
        <x:v>57</x:v>
      </x:c>
      <x:c r="B37" s="10" t="n">
        <x:v>46273.40634259259</x:v>
      </x:c>
      <x:c r="C37" s="2" t="str">
        <x:v>丙烯</x:v>
      </x:c>
      <x:c r="D37" s="2" t="str">
        <x:v>苏冰</x:v>
      </x:c>
      <x:c r="E37" s="2" t="str">
        <x:v>15m</x:v>
      </x:c>
      <x:c r="F37" s="2" t="str">
        <x:v>逐条结果未留存</x:v>
      </x:c>
      <x:c r="G37" s="14" t="str">
        <x:v>【苏冰预警】丙烯（PR）
合约：PR2611　周期：15m
多头预警：MACD 金叉，收盘价位于 EMA21 上方
Bar：2026-09-08T01:45:00+00:00
请打开图表复核；仅供研究观察，不是交易指令。</x:v>
      </x:c>
      <x:c r="H37" s="14" t="str">
        <x:v>本次未复算；前次：前次复算一致，本次未重算；原始逐条输入快照未存档</x:v>
      </x:c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</x:row>
    <x:row r="38" ht="102" customHeight="1">
      <x:c r="A38" s="2" t="n">
        <x:v>58</x:v>
      </x:c>
      <x:c r="B38" s="10" t="n">
        <x:v>46273.40636574074</x:v>
      </x:c>
      <x:c r="C38" s="2" t="str">
        <x:v>原油</x:v>
      </x:c>
      <x:c r="D38" s="2" t="str">
        <x:v>苏冰</x:v>
      </x:c>
      <x:c r="E38" s="2" t="str">
        <x:v>15m</x:v>
      </x:c>
      <x:c r="F38" s="2" t="str">
        <x:v>逐条结果未留存</x:v>
      </x:c>
      <x:c r="G38" s="14" t="str">
        <x:v>【苏冰预警】原油（SC）
合约：SC2610　周期：15m
多头预警：MACD 金叉，收盘价位于 EMA21 上方
Bar：2026-09-08T01:45:00+00:00
请打开图表复核；仅供研究观察，不是交易指令。</x:v>
      </x:c>
      <x:c r="H38" s="14" t="str">
        <x:v>本次未复算；前次：前次复算一致，本次未重算；原始逐条输入快照未存档</x:v>
      </x:c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</x:row>
    <x:row r="39" ht="102" customHeight="1">
      <x:c r="A39" s="2" t="n">
        <x:v>59</x:v>
      </x:c>
      <x:c r="B39" s="10" t="n">
        <x:v>46273.406377314815</x:v>
      </x:c>
      <x:c r="C39" s="2" t="str">
        <x:v>铝</x:v>
      </x:c>
      <x:c r="D39" s="2" t="str">
        <x:v>苏冰</x:v>
      </x:c>
      <x:c r="E39" s="2" t="str">
        <x:v>15m</x:v>
      </x:c>
      <x:c r="F39" s="2" t="str">
        <x:v>transport_failed</x:v>
      </x:c>
      <x:c r="G39" s="14" t="str">
        <x:v>【苏冰预警】铝（AL）
合约：AL2610　周期：15m
多头预警：MACD 金叉，收盘价位于 EMA21 上方
Bar：2026-09-08T01:45:00+00:00
请打开图表复核；仅供研究观察，不是交易指令。</x:v>
      </x:c>
      <x:c r="H39" s="14" t="str">
        <x:v>本次未复算；前次：前次复算一致，本次未重算；原始逐条输入快照未存档</x:v>
      </x:c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</x:row>
    <x:row r="40" ht="102" customHeight="1">
      <x:c r="A40" s="2" t="n">
        <x:v>60</x:v>
      </x:c>
      <x:c r="B40" s="10" t="n">
        <x:v>46273.40645833333</x:v>
      </x:c>
      <x:c r="C40" s="2" t="str">
        <x:v>乙二醇</x:v>
      </x:c>
      <x:c r="D40" s="2" t="str">
        <x:v>苏冰</x:v>
      </x:c>
      <x:c r="E40" s="2" t="str">
        <x:v>15m</x:v>
      </x:c>
      <x:c r="F40" s="2" t="str">
        <x:v>逐条结果未留存</x:v>
      </x:c>
      <x:c r="G40" s="14" t="str">
        <x:v>【苏冰预警】乙二醇（EG）
合约：EG2610　周期：15m
多头预警：MACD 金叉，收盘价位于 EMA21 上方
Bar：2026-09-08T01:45:00+00:00
请打开图表复核；仅供研究观察，不是交易指令。</x:v>
      </x:c>
      <x:c r="H40" s="14" t="str">
        <x:v>本次未复算；前次：前次复算一致，本次未重算；原始逐条输入快照未存档</x:v>
      </x:c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</x:row>
    <x:row r="41" ht="102" customHeight="1">
      <x:c r="A41" s="2" t="n">
        <x:v>61</x:v>
      </x:c>
      <x:c r="B41" s="10" t="n">
        <x:v>46273.406481481485</x:v>
      </x:c>
      <x:c r="C41" s="2" t="str">
        <x:v>豆粕</x:v>
      </x:c>
      <x:c r="D41" s="2" t="str">
        <x:v>苏冰</x:v>
      </x:c>
      <x:c r="E41" s="2" t="str">
        <x:v>15m</x:v>
      </x:c>
      <x:c r="F41" s="2" t="str">
        <x:v>逐条结果未留存</x:v>
      </x:c>
      <x:c r="G41" s="14" t="str">
        <x:v>【苏冰预警】豆粕（M）
合约：M2701　周期：15m
空头预警：MACD 死叉，收盘价位于 EMA21 下方
Bar：2026-09-08T01:45:00+00:00
请打开图表复核；仅供研究观察，不是交易指令。</x:v>
      </x:c>
      <x:c r="H41" s="14" t="str">
        <x:v>本次未复算；前次：前次复算一致，本次未重算；原始逐条输入快照未存档</x:v>
      </x:c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</x:row>
    <x:row r="42" ht="102" customHeight="1">
      <x:c r="A42" s="2" t="n">
        <x:v>62</x:v>
      </x:c>
      <x:c r="B42" s="10" t="n">
        <x:v>46273.40650462963</x:v>
      </x:c>
      <x:c r="C42" s="2" t="str">
        <x:v>pvc</x:v>
      </x:c>
      <x:c r="D42" s="2" t="str">
        <x:v>苏冰</x:v>
      </x:c>
      <x:c r="E42" s="2" t="str">
        <x:v>15m</x:v>
      </x:c>
      <x:c r="F42" s="2" t="str">
        <x:v>逐条结果未留存</x:v>
      </x:c>
      <x:c r="G42" s="14" t="str">
        <x:v>【苏冰预警】pvc（V）
合约：V2701　周期：15m
多头预警：MACD 金叉，收盘价位于 EMA21 上方
Bar：2026-09-08T01:45:00+00:00
请打开图表复核；仅供研究观察，不是交易指令。</x:v>
      </x:c>
      <x:c r="H42" s="14" t="str">
        <x:v>本次未复算；前次：前次复算一致，本次未重算；原始逐条输入快照未存档</x:v>
      </x:c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</x:row>
    <x:row r="43" ht="102" customHeight="1">
      <x:c r="A43" s="2" t="n">
        <x:v>63</x:v>
      </x:c>
      <x:c r="B43" s="10" t="n">
        <x:v>46273.41324074074</x:v>
      </x:c>
      <x:c r="C43" s="2" t="str">
        <x:v>焦煤</x:v>
      </x:c>
      <x:c r="D43" s="2" t="str">
        <x:v>火天大有</x:v>
      </x:c>
      <x:c r="E43" s="2" t="str">
        <x:v>5m</x:v>
      </x:c>
      <x:c r="F43" s="2" t="str">
        <x:v>逐条结果未留存</x:v>
      </x:c>
      <x:c r="G43" s="14" t="str">
        <x:v>火天大有：焦煤（JM）
合约：JM2701　周期：5m
观察：卖出观察
Bar：2026-09-08T01:55:00+00:00
仅供研究观察，不是交易指令。</x:v>
      </x:c>
      <x:c r="H43" s="14" t="str">
        <x:v>本次未复算；前次：当前输入复算一致；原始逐条输入快照未存档</x:v>
      </x:c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</x:row>
    <x:row r="44" ht="102" customHeight="1">
      <x:c r="A44" s="2" t="n">
        <x:v>64</x:v>
      </x:c>
      <x:c r="B44" s="10" t="n">
        <x:v>46273.416712962964</x:v>
      </x:c>
      <x:c r="C44" s="2" t="str">
        <x:v>烧碱</x:v>
      </x:c>
      <x:c r="D44" s="2" t="str">
        <x:v>苏冰</x:v>
      </x:c>
      <x:c r="E44" s="2" t="str">
        <x:v>15m</x:v>
      </x:c>
      <x:c r="F44" s="2" t="str">
        <x:v>逐条结果未留存</x:v>
      </x:c>
      <x:c r="G44" s="14" t="str">
        <x:v>【苏冰预警】烧碱（SH）
合约：SH2611　周期：15m
多头预警：MACD 金叉，收盘价位于 EMA21 上方
Bar：2026-09-08T02:00:00+00:00
请打开图表复核；仅供研究观察，不是交易指令。</x:v>
      </x:c>
      <x:c r="H44" s="14" t="str">
        <x:v>本次未复算；前次：前次复算一致，本次未重算；原始逐条输入快照未存档</x:v>
      </x:c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</x:row>
    <x:row r="45" ht="102" customHeight="1">
      <x:c r="A45" s="2" t="n">
        <x:v>65</x:v>
      </x:c>
      <x:c r="B45" s="10" t="n">
        <x:v>46273.416921296295</x:v>
      </x:c>
      <x:c r="C45" s="2" t="str">
        <x:v>豆二</x:v>
      </x:c>
      <x:c r="D45" s="2" t="str">
        <x:v>苏冰</x:v>
      </x:c>
      <x:c r="E45" s="2" t="str">
        <x:v>15m</x:v>
      </x:c>
      <x:c r="F45" s="2" t="str">
        <x:v>逐条结果未留存</x:v>
      </x:c>
      <x:c r="G45" s="14" t="str">
        <x:v>【苏冰预警】豆二（B）
合约：B2611　周期：15m
空头预警：MACD 死叉，收盘价位于 EMA21 下方
Bar：2026-09-08T02:00:00+00:00
请打开图表复核；仅供研究观察，不是交易指令。</x:v>
      </x:c>
      <x:c r="H45" s="14" t="str">
        <x:v>本次未复算；前次：前次复算一致，本次未重算；原始逐条输入快照未存档</x:v>
      </x:c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</x:row>
    <x:row r="46" ht="102" customHeight="1">
      <x:c r="A46" s="2" t="n">
        <x:v>66</x:v>
      </x:c>
      <x:c r="B46" s="10" t="n">
        <x:v>46273.417083333334</x:v>
      </x:c>
      <x:c r="C46" s="2" t="str">
        <x:v>焦煤</x:v>
      </x:c>
      <x:c r="D46" s="2" t="str">
        <x:v>火天大有</x:v>
      </x:c>
      <x:c r="E46" s="2" t="str">
        <x:v>5m</x:v>
      </x:c>
      <x:c r="F46" s="2" t="str">
        <x:v>逐条结果未留存</x:v>
      </x:c>
      <x:c r="G46" s="14" t="str">
        <x:v>火天大有：焦煤（JM）
合约：JM2701　周期：5m
观察：卖出观察
Bar：2026-09-08T02:00:00+00:00
仅供研究观察，不是交易指令。</x:v>
      </x:c>
      <x:c r="H46" s="14" t="str">
        <x:v>本次未复算；前次：当前输入复算一致；原始逐条输入快照未存档</x:v>
      </x:c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</x:row>
    <x:row r="47" ht="102" customHeight="1">
      <x:c r="A47" s="2" t="n">
        <x:v>67</x:v>
      </x:c>
      <x:c r="B47" s="10" t="n">
        <x:v>46273.4171412037</x:v>
      </x:c>
      <x:c r="C47" s="2" t="str">
        <x:v>工业硅</x:v>
      </x:c>
      <x:c r="D47" s="2" t="str">
        <x:v>苏冰</x:v>
      </x:c>
      <x:c r="E47" s="2" t="str">
        <x:v>15m</x:v>
      </x:c>
      <x:c r="F47" s="2" t="str">
        <x:v>逐条结果未留存</x:v>
      </x:c>
      <x:c r="G47" s="14" t="str">
        <x:v>【苏冰预警】工业硅（SI）
合约：SI2611　周期：15m
多头预警：MACD 金叉，收盘价位于 EMA21 上方
Bar：2026-09-08T02:00:00+00:00
请打开图表复核；仅供研究观察，不是交易指令。</x:v>
      </x:c>
      <x:c r="H47" s="14" t="str">
        <x:v>本次未复算；前次：前次复算一致，本次未重算；原始逐条输入快照未存档</x:v>
      </x:c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</x:row>
    <x:row r="48" ht="102" customHeight="1">
      <x:c r="A48" s="2" t="n">
        <x:v>68</x:v>
      </x:c>
      <x:c r="B48" s="10" t="n">
        <x:v>46273.42017361111</x:v>
      </x:c>
      <x:c r="C48" s="2" t="str">
        <x:v>焦煤</x:v>
      </x:c>
      <x:c r="D48" s="2" t="str">
        <x:v>火天大有</x:v>
      </x:c>
      <x:c r="E48" s="2" t="str">
        <x:v>5m</x:v>
      </x:c>
      <x:c r="F48" s="2" t="str">
        <x:v>逐条结果未留存</x:v>
      </x:c>
      <x:c r="G48" s="14" t="str">
        <x:v>火天大有：焦煤（JM）
合约：JM2701　周期：5m
观察：卖出观察
Bar：2026-09-08T02:05:00+00:00
仅供研究观察，不是交易指令。</x:v>
      </x:c>
      <x:c r="H48" s="14" t="str">
        <x:v>本次未复算；前次：当前输入复算一致；原始逐条输入快照未存档</x:v>
      </x:c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</x:row>
    <x:row r="49" ht="102" customHeight="1">
      <x:c r="A49" s="2" t="n">
        <x:v>69</x:v>
      </x:c>
      <x:c r="B49" s="10" t="n">
        <x:v>46273.42726851852</x:v>
      </x:c>
      <x:c r="C49" s="2" t="str">
        <x:v>锡</x:v>
      </x:c>
      <x:c r="D49" s="2" t="str">
        <x:v>苏冰</x:v>
      </x:c>
      <x:c r="E49" s="2" t="str">
        <x:v>15m</x:v>
      </x:c>
      <x:c r="F49" s="2" t="str">
        <x:v>逐条结果未留存</x:v>
      </x:c>
      <x:c r="G49" s="14" t="str">
        <x:v>【苏冰预警】锡（SN）
合约：SN2610　周期：15m
空头预警：MACD 死叉，收盘价位于 EMA21 下方
Bar：2026-09-08T02:15:00+00:00
请打开图表复核；仅供研究观察，不是交易指令。</x:v>
      </x:c>
      <x:c r="H49" s="14" t="str">
        <x:v>本次未复算；前次：前次复算一致，本次未重算；原始逐条输入快照未存档</x:v>
      </x:c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</x:row>
    <x:row r="50" ht="102" customHeight="1">
      <x:c r="A50" s="2" t="n">
        <x:v>70</x:v>
      </x:c>
      <x:c r="B50" s="10" t="n">
        <x:v>46273.427303240744</x:v>
      </x:c>
      <x:c r="C50" s="2" t="str">
        <x:v>焦煤</x:v>
      </x:c>
      <x:c r="D50" s="2" t="str">
        <x:v>火天大有</x:v>
      </x:c>
      <x:c r="E50" s="2" t="str">
        <x:v>5m</x:v>
      </x:c>
      <x:c r="F50" s="2" t="str">
        <x:v>逐条结果未留存</x:v>
      </x:c>
      <x:c r="G50" s="14" t="str">
        <x:v>火天大有：焦煤（JM）
合约：JM2701　周期：5m
观察：卖出观察
Bar：2026-09-08T02:15:00+00:00
仅供研究观察，不是交易指令。</x:v>
      </x:c>
      <x:c r="H50" s="14" t="str">
        <x:v>本次未复算；前次：当前输入复算一致；原始逐条输入快照未存档</x:v>
      </x:c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</x:row>
    <x:row r="51" ht="102" customHeight="1">
      <x:c r="A51" s="2" t="n">
        <x:v>71</x:v>
      </x:c>
      <x:c r="B51" s="10" t="n">
        <x:v>46273.42733796296</x:v>
      </x:c>
      <x:c r="C51" s="2" t="str">
        <x:v>豆油</x:v>
      </x:c>
      <x:c r="D51" s="2" t="str">
        <x:v>苏冰</x:v>
      </x:c>
      <x:c r="E51" s="2" t="str">
        <x:v>15m</x:v>
      </x:c>
      <x:c r="F51" s="2" t="str">
        <x:v>逐条结果未留存</x:v>
      </x:c>
      <x:c r="G51" s="14" t="str">
        <x:v>【苏冰预警】豆油（Y）
合约：Y2701　周期：15m
空头预警：MACD 死叉，收盘价位于 EMA21 下方
Bar：2026-09-08T02:15:00+00:00
请打开图表复核；仅供研究观察，不是交易指令。</x:v>
      </x:c>
      <x:c r="H51" s="14" t="str">
        <x:v>本次未复算；前次：前次复算一致，本次未重算；原始逐条输入快照未存档</x:v>
      </x:c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</x:row>
    <x:row r="52" ht="102" customHeight="1">
      <x:c r="A52" s="2" t="n">
        <x:v>72</x:v>
      </x:c>
      <x:c r="B52" s="10" t="n">
        <x:v>46273.44818287037</x:v>
      </x:c>
      <x:c r="C52" s="2" t="str">
        <x:v>焦煤</x:v>
      </x:c>
      <x:c r="D52" s="2" t="str">
        <x:v>火天大有</x:v>
      </x:c>
      <x:c r="E52" s="2" t="str">
        <x:v>5m</x:v>
      </x:c>
      <x:c r="F52" s="2" t="str">
        <x:v>逐条结果未留存</x:v>
      </x:c>
      <x:c r="G52" s="14" t="str">
        <x:v>火天大有：焦煤（JM）
合约：JM2701　周期：5m
观察：卖出观察
Bar：2026-09-08T02:45:00+00:00
仅供研究观察，不是交易指令。</x:v>
      </x:c>
      <x:c r="H52" s="14" t="str">
        <x:v>本次未复算；前次：当前输入复算一致；原始逐条输入快照未存档</x:v>
      </x:c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</x:row>
    <x:row r="53" ht="102" customHeight="1">
      <x:c r="A53" s="2" t="n">
        <x:v>73</x:v>
      </x:c>
      <x:c r="B53" s="10" t="n">
        <x:v>46273.448229166665</x:v>
      </x:c>
      <x:c r="C53" s="2" t="str">
        <x:v>钯金</x:v>
      </x:c>
      <x:c r="D53" s="2" t="str">
        <x:v>苏冰</x:v>
      </x:c>
      <x:c r="E53" s="2" t="str">
        <x:v>15m</x:v>
      </x:c>
      <x:c r="F53" s="2" t="str">
        <x:v>逐条结果未留存</x:v>
      </x:c>
      <x:c r="G53" s="14" t="str">
        <x:v>【苏冰预警】钯金（PD）
合约：PD2610　周期：15m
空头预警：MACD 死叉，收盘价位于 EMA21 下方
Bar：2026-09-08T02:45:00+00:00
请打开图表复核；仅供研究观察，不是交易指令。</x:v>
      </x:c>
      <x:c r="H53" s="14" t="str">
        <x:v>本次未复算；前次：前次复算一致，本次未重算；原始逐条输入快照未存档</x:v>
      </x:c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</x:row>
    <x:row r="54" ht="102" customHeight="1">
      <x:c r="A54" s="2" t="n">
        <x:v>74</x:v>
      </x:c>
      <x:c r="B54" s="10" t="n">
        <x:v>46273.458553240744</x:v>
      </x:c>
      <x:c r="C54" s="2" t="str">
        <x:v>焦煤</x:v>
      </x:c>
      <x:c r="D54" s="2" t="str">
        <x:v>火天大有</x:v>
      </x:c>
      <x:c r="E54" s="2" t="str">
        <x:v>15m</x:v>
      </x:c>
      <x:c r="F54" s="2" t="str">
        <x:v>逐条结果未留存</x:v>
      </x:c>
      <x:c r="G54" s="14" t="str">
        <x:v>火天大有：焦煤（JM）
合约：JM2701　周期：15m
观察：卖出观察
Bar：2026-09-08T03:00:00+00:00
仅供研究观察，不是交易指令。</x:v>
      </x:c>
      <x:c r="H54" s="14" t="str">
        <x:v>本次未复算；前次：当前输入复算一致；原始逐条输入快照未存档</x:v>
      </x:c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</x:row>
    <x:row r="55" ht="102" customHeight="1">
      <x:c r="A55" s="2" t="n">
        <x:v>75</x:v>
      </x:c>
      <x:c r="B55" s="10" t="n">
        <x:v>46273.458645833336</x:v>
      </x:c>
      <x:c r="C55" s="2" t="str">
        <x:v>集运欧线</x:v>
      </x:c>
      <x:c r="D55" s="2" t="str">
        <x:v>苏冰</x:v>
      </x:c>
      <x:c r="E55" s="2" t="str">
        <x:v>15m</x:v>
      </x:c>
      <x:c r="F55" s="2" t="str">
        <x:v>逐条结果未留存</x:v>
      </x:c>
      <x:c r="G55" s="14" t="str">
        <x:v>【苏冰预警】集运欧线（EC）
合约：EC2610　周期：15m
多头预警：MACD 金叉，收盘价位于 EMA21 上方
Bar：2026-09-08T03:00:00+00:00
请打开图表复核；仅供研究观察，不是交易指令。</x:v>
      </x:c>
      <x:c r="H55" s="14" t="str">
        <x:v>本次未复算；前次：前次复算一致，本次未重算；原始逐条输入快照未存档</x:v>
      </x:c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</x:row>
    <x:row r="56" ht="102" customHeight="1">
      <x:c r="A56" s="2" t="n">
        <x:v>76</x:v>
      </x:c>
      <x:c r="B56" s="10" t="n">
        <x:v>46273.468831018516</x:v>
      </x:c>
      <x:c r="C56" s="2" t="str">
        <x:v>菜粕</x:v>
      </x:c>
      <x:c r="D56" s="2" t="str">
        <x:v>苏冰</x:v>
      </x:c>
      <x:c r="E56" s="2" t="str">
        <x:v>15m</x:v>
      </x:c>
      <x:c r="F56" s="2" t="str">
        <x:v>逐条结果未留存</x:v>
      </x:c>
      <x:c r="G56" s="14" t="str">
        <x:v>【苏冰预警】菜粕（RM）
合约：RM2611　周期：15m
多头预警：MACD 金叉，收盘价位于 EMA21 上方
Bar：2026-09-08T03:15:00+00:00
请打开图表复核；仅供研究观察，不是交易指令。</x:v>
      </x:c>
      <x:c r="H56" s="14" t="str">
        <x:v>本次未复算；前次：前次复算一致，本次未重算；原始逐条输入快照未存档</x:v>
      </x:c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</x:row>
    <x:row r="57" ht="102" customHeight="1">
      <x:c r="A57" s="2" t="n">
        <x:v>77</x:v>
      </x:c>
      <x:c r="B57" s="10" t="n">
        <x:v>46273.468981481485</x:v>
      </x:c>
      <x:c r="C57" s="2" t="str">
        <x:v>焦煤</x:v>
      </x:c>
      <x:c r="D57" s="2" t="str">
        <x:v>火天大有</x:v>
      </x:c>
      <x:c r="E57" s="2" t="str">
        <x:v>15m</x:v>
      </x:c>
      <x:c r="F57" s="2" t="str">
        <x:v>逐条结果未留存</x:v>
      </x:c>
      <x:c r="G57" s="14" t="str">
        <x:v>火天大有：焦煤（JM）
合约：JM2701　周期：15m
观察：卖出观察
Bar：2026-09-08T03:15:00+00:00
仅供研究观察，不是交易指令。</x:v>
      </x:c>
      <x:c r="H57" s="14" t="str">
        <x:v>本次未复算；前次：当前输入复算一致；原始逐条输入快照未存档</x:v>
      </x:c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</x:row>
    <x:row r="58" ht="102" customHeight="1">
      <x:c r="A58" s="2" t="n">
        <x:v>78</x:v>
      </x:c>
      <x:c r="B58" s="10" t="n">
        <x:v>46273.47949074074</x:v>
      </x:c>
      <x:c r="C58" s="2" t="str">
        <x:v>生猪</x:v>
      </x:c>
      <x:c r="D58" s="2" t="str">
        <x:v>苏冰</x:v>
      </x:c>
      <x:c r="E58" s="2" t="str">
        <x:v>15m</x:v>
      </x:c>
      <x:c r="F58" s="2" t="str">
        <x:v>provider_accepted</x:v>
      </x:c>
      <x:c r="G58" s="14" t="str">
        <x:v>【苏冰预警】生猪（LH）
合约：LH2611　周期：15m
多头预警：MACD 金叉，收盘价位于 EMA21 上方
Bar：2026-09-08T03:30:00+00:00
请打开图表复核；仅供研究观察，不是交易指令。</x:v>
      </x:c>
      <x:c r="H58" s="14" t="str">
        <x:v>本次未复算；前次：前次复算一致，本次未重算；原始逐条输入快照未存档</x:v>
      </x:c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</x:row>
    <x:row r="59" ht="102" customHeight="1">
      <x:c r="A59" s="2" t="n">
        <x:v>79</x:v>
      </x:c>
      <x:c r="B59" s="10" t="n">
        <x:v>46273.57304398148</x:v>
      </x:c>
      <x:c r="C59" s="2" t="str">
        <x:v>豆二</x:v>
      </x:c>
      <x:c r="D59" s="2" t="str">
        <x:v>苏冰</x:v>
      </x:c>
      <x:c r="E59" s="2" t="str">
        <x:v>15m</x:v>
      </x:c>
      <x:c r="F59" s="2" t="str">
        <x:v>逐条结果未留存</x:v>
      </x:c>
      <x:c r="G59" s="14" t="str">
        <x:v>【苏冰预警】豆二（B）
合约：B2611　周期：15m
多头预警：MACD 金叉，收盘价位于 EMA21 上方
Bar：2026-09-08T05:45:00+00:00
请打开图表复核；仅供研究观察，不是交易指令。</x:v>
      </x:c>
      <x:c r="H59" s="14" t="str">
        <x:v>本次未复算；前次：前次复算一致，本次未重算；原始逐条输入快照未存档</x:v>
      </x:c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</x:row>
    <x:row r="60" ht="102" customHeight="1">
      <x:c r="A60" s="2" t="n">
        <x:v>80</x:v>
      </x:c>
      <x:c r="B60" s="10" t="n">
        <x:v>46273.57305555556</x:v>
      </x:c>
      <x:c r="C60" s="2" t="str">
        <x:v>纯苯</x:v>
      </x:c>
      <x:c r="D60" s="2" t="str">
        <x:v>苏冰</x:v>
      </x:c>
      <x:c r="E60" s="2" t="str">
        <x:v>15m</x:v>
      </x:c>
      <x:c r="F60" s="2" t="str">
        <x:v>逐条结果未留存</x:v>
      </x:c>
      <x:c r="G60" s="14" t="str">
        <x:v>【苏冰预警】纯苯（BZ）
合约：BZ2610　周期：15m
多头预警：MACD 金叉，收盘价位于 EMA21 上方
Bar：2026-09-08T05:45:00+00:00
请打开图表复核；仅供研究观察，不是交易指令。</x:v>
      </x:c>
      <x:c r="H60" s="14" t="str">
        <x:v>本次未复算；前次：前次复算一致，本次未重算；原始逐条输入快照未存档</x:v>
      </x:c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</x:row>
    <x:row r="61" ht="102" customHeight="1">
      <x:c r="A61" s="2" t="n">
        <x:v>81</x:v>
      </x:c>
      <x:c r="B61" s="10" t="n">
        <x:v>46273.573113425926</x:v>
      </x:c>
      <x:c r="C61" s="2" t="str">
        <x:v>沥青</x:v>
      </x:c>
      <x:c r="D61" s="2" t="str">
        <x:v>苏冰</x:v>
      </x:c>
      <x:c r="E61" s="2" t="str">
        <x:v>15m</x:v>
      </x:c>
      <x:c r="F61" s="2" t="str">
        <x:v>逐条结果未留存</x:v>
      </x:c>
      <x:c r="G61" s="14" t="str">
        <x:v>【苏冰预警】沥青（BU）
合约：BU2610　周期：15m
多头预警：MACD 金叉，收盘价位于 EMA21 上方
Bar：2026-09-08T05:45:00+00:00
请打开图表复核；仅供研究观察，不是交易指令。</x:v>
      </x:c>
      <x:c r="H61" s="14" t="str">
        <x:v>本次未复算；前次：前次复算一致，本次未重算；原始逐条输入快照未存档</x:v>
      </x:c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</x:row>
    <x:row r="62" ht="102" customHeight="1">
      <x:c r="A62" s="2" t="n">
        <x:v>82</x:v>
      </x:c>
      <x:c r="B62" s="10" t="n">
        <x:v>46273.57313657407</x:v>
      </x:c>
      <x:c r="C62" s="2" t="str">
        <x:v>燃料油</x:v>
      </x:c>
      <x:c r="D62" s="2" t="str">
        <x:v>苏冰</x:v>
      </x:c>
      <x:c r="E62" s="2" t="str">
        <x:v>15m</x:v>
      </x:c>
      <x:c r="F62" s="2" t="str">
        <x:v>逐条结果未留存</x:v>
      </x:c>
      <x:c r="G62" s="14" t="str">
        <x:v>【苏冰预警】燃料油（FU）
合约：FU2611　周期：15m
多头预警：MACD 金叉，收盘价位于 EMA21 上方
Bar：2026-09-08T05:45:00+00:00
请打开图表复核；仅供研究观察，不是交易指令。</x:v>
      </x:c>
      <x:c r="H62" s="14" t="str">
        <x:v>本次未复算；前次：前次复算一致，本次未重算；原始逐条输入快照未存档</x:v>
      </x:c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</x:row>
    <x:row r="63" ht="102" customHeight="1">
      <x:c r="A63" s="2" t="n">
        <x:v>83</x:v>
      </x:c>
      <x:c r="B63" s="10" t="n">
        <x:v>46273.57320601852</x:v>
      </x:c>
      <x:c r="C63" s="2" t="str">
        <x:v>苯乙烯</x:v>
      </x:c>
      <x:c r="D63" s="2" t="str">
        <x:v>苏冰</x:v>
      </x:c>
      <x:c r="E63" s="2" t="str">
        <x:v>15m</x:v>
      </x:c>
      <x:c r="F63" s="2" t="str">
        <x:v>逐条结果未留存</x:v>
      </x:c>
      <x:c r="G63" s="14" t="str">
        <x:v>【苏冰预警】苯乙烯（EB）
合约：EB2610　周期：15m
多头预警：MACD 金叉，收盘价位于 EMA21 上方
Bar：2026-09-08T05:45:00+00:00
请打开图表复核；仅供研究观察，不是交易指令。</x:v>
      </x:c>
      <x:c r="H63" s="14" t="str">
        <x:v>本次未复算；前次：前次复算一致，本次未重算；原始逐条输入快照未存档</x:v>
      </x:c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</x:row>
    <x:row r="64" ht="102" customHeight="1">
      <x:c r="A64" s="2" t="n">
        <x:v>84</x:v>
      </x:c>
      <x:c r="B64" s="10" t="n">
        <x:v>46273.57324074074</x:v>
      </x:c>
      <x:c r="C64" s="2" t="str">
        <x:v>豆粕</x:v>
      </x:c>
      <x:c r="D64" s="2" t="str">
        <x:v>苏冰</x:v>
      </x:c>
      <x:c r="E64" s="2" t="str">
        <x:v>15m</x:v>
      </x:c>
      <x:c r="F64" s="2" t="str">
        <x:v>逐条结果未留存</x:v>
      </x:c>
      <x:c r="G64" s="14" t="str">
        <x:v>【苏冰预警】豆粕（M）
合约：M2701　周期：15m
多头预警：MACD 金叉，收盘价位于 EMA21 上方
Bar：2026-09-08T05:45:00+00:00
请打开图表复核；仅供研究观察，不是交易指令。</x:v>
      </x:c>
      <x:c r="H64" s="14" t="str">
        <x:v>本次未复算；前次：前次复算一致，本次未重算；原始逐条输入快照未存档</x:v>
      </x:c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</x:row>
    <x:row r="65" ht="102" customHeight="1">
      <x:c r="A65" s="2" t="n">
        <x:v>85</x:v>
      </x:c>
      <x:c r="B65" s="10" t="n">
        <x:v>46273.57329861111</x:v>
      </x:c>
      <x:c r="C65" s="2" t="str">
        <x:v>苹果</x:v>
      </x:c>
      <x:c r="D65" s="2" t="str">
        <x:v>苏冰</x:v>
      </x:c>
      <x:c r="E65" s="2" t="str">
        <x:v>15m</x:v>
      </x:c>
      <x:c r="F65" s="2" t="str">
        <x:v>逐条结果未留存</x:v>
      </x:c>
      <x:c r="G65" s="14" t="str">
        <x:v>【苏冰预警】苹果（AP）
合约：AP2701　周期：15m
多头预警：MACD 金叉，收盘价位于 EMA21 上方
Bar：2026-09-08T05:45:00+00:00
请打开图表复核；仅供研究观察，不是交易指令。</x:v>
      </x:c>
      <x:c r="H65" s="14" t="str">
        <x:v>本次未复算；前次：前次复算一致，本次未重算；原始逐条输入快照未存档</x:v>
      </x:c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</x:row>
    <x:row r="66" ht="102" customHeight="1">
      <x:c r="A66" s="2" t="n">
        <x:v>86</x:v>
      </x:c>
      <x:c r="B66" s="10" t="n">
        <x:v>46273.58347222222</x:v>
      </x:c>
      <x:c r="C66" s="2" t="str">
        <x:v>黄金</x:v>
      </x:c>
      <x:c r="D66" s="2" t="str">
        <x:v>苏冰</x:v>
      </x:c>
      <x:c r="E66" s="2" t="str">
        <x:v>15m</x:v>
      </x:c>
      <x:c r="F66" s="2" t="str">
        <x:v>逐条结果未留存</x:v>
      </x:c>
      <x:c r="G66" s="14" t="str">
        <x:v>【苏冰预警】黄金（AU）
合约：AU2610　周期：15m
空头预警：MACD 死叉，收盘价位于 EMA21 下方
Bar：2026-09-08T06:00:00+00:00
请打开图表复核；仅供研究观察，不是交易指令。</x:v>
      </x:c>
      <x:c r="H66" s="14" t="str">
        <x:v>本次未复算；前次：前次复算一致，本次未重算；原始逐条输入快照未存档</x:v>
      </x:c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</x:row>
    <x:row r="67" ht="102" customHeight="1">
      <x:c r="A67" s="2" t="n">
        <x:v>87</x:v>
      </x:c>
      <x:c r="B67" s="10" t="n">
        <x:v>46273.59395833333</x:v>
      </x:c>
      <x:c r="C67" s="2" t="str">
        <x:v>铁矿石</x:v>
      </x:c>
      <x:c r="D67" s="2" t="str">
        <x:v>苏冰</x:v>
      </x:c>
      <x:c r="E67" s="2" t="str">
        <x:v>15m</x:v>
      </x:c>
      <x:c r="F67" s="2" t="str">
        <x:v>逐条结果未留存</x:v>
      </x:c>
      <x:c r="G67" s="14" t="str">
        <x:v>【苏冰预警】铁矿石（I）
合约：I2701　周期：15m
多头预警：MACD 金叉，收盘价位于 EMA21 上方
Bar：2026-09-08T06:15:00+00:00
请打开图表复核；仅供研究观察，不是交易指令。</x:v>
      </x:c>
      <x:c r="H67" s="14" t="str">
        <x:v>本次未复算；前次：前次复算一致，本次未重算；原始逐条输入快照未存档</x:v>
      </x:c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</x:row>
    <x:row r="68" ht="102" customHeight="1">
      <x:c r="A68" s="2" t="n">
        <x:v>88</x:v>
      </x:c>
      <x:c r="B68" s="10" t="n">
        <x:v>46273.593993055554</x:v>
      </x:c>
      <x:c r="C68" s="2" t="str">
        <x:v>液化石油气</x:v>
      </x:c>
      <x:c r="D68" s="2" t="str">
        <x:v>苏冰</x:v>
      </x:c>
      <x:c r="E68" s="2" t="str">
        <x:v>15m</x:v>
      </x:c>
      <x:c r="F68" s="2" t="str">
        <x:v>逐条结果未留存</x:v>
      </x:c>
      <x:c r="G68" s="14" t="str">
        <x:v>【苏冰预警】液化石油气（PG）
合约：PG2610　周期：15m
多头预警：MACD 金叉，收盘价位于 EMA21 上方
Bar：2026-09-08T06:15:00+00:00
请打开图表复核；仅供研究观察，不是交易指令。</x:v>
      </x:c>
      <x:c r="H68" s="14" t="str">
        <x:v>本次未复算；前次：前次复算一致，本次未重算；原始逐条输入快照未存档</x:v>
      </x:c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</x:row>
    <x:row r="69" ht="102" customHeight="1">
      <x:c r="A69" s="2" t="n">
        <x:v>89</x:v>
      </x:c>
      <x:c r="B69" s="10" t="n">
        <x:v>46273.60425925926</x:v>
      </x:c>
      <x:c r="C69" s="2" t="str">
        <x:v>豆二</x:v>
      </x:c>
      <x:c r="D69" s="2" t="str">
        <x:v>苏冰</x:v>
      </x:c>
      <x:c r="E69" s="2" t="str">
        <x:v>15m</x:v>
      </x:c>
      <x:c r="F69" s="2" t="str">
        <x:v>逐条结果未留存</x:v>
      </x:c>
      <x:c r="G69" s="14" t="str">
        <x:v>【苏冰预警】豆二（B）
合约：B2611　周期：15m
空头预警：MACD 死叉，收盘价位于 EMA21 下方
Bar：2026-09-08T06:30:00+00:00
请打开图表复核；仅供研究观察，不是交易指令。</x:v>
      </x:c>
      <x:c r="H69" s="14" t="str">
        <x:v>本次未复算；前次：前次复算一致，本次未重算；原始逐条输入快照未存档</x:v>
      </x:c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</x:row>
    <x:row r="70" ht="102" customHeight="1">
      <x:c r="A70" s="2" t="n">
        <x:v>90</x:v>
      </x:c>
      <x:c r="B70" s="10" t="n">
        <x:v>46273.60445601852</x:v>
      </x:c>
      <x:c r="C70" s="2" t="str">
        <x:v>红枣</x:v>
      </x:c>
      <x:c r="D70" s="2" t="str">
        <x:v>苏冰</x:v>
      </x:c>
      <x:c r="E70" s="2" t="str">
        <x:v>15m</x:v>
      </x:c>
      <x:c r="F70" s="2" t="str">
        <x:v>逐条结果未留存</x:v>
      </x:c>
      <x:c r="G70" s="14" t="str">
        <x:v>【苏冰预警】红枣（CJ）
合约：CJ2701　周期：15m
空头预警：MACD 死叉，收盘价位于 EMA21 下方
Bar：2026-09-08T06:30:00+00:00
请打开图表复核；仅供研究观察，不是交易指令。</x:v>
      </x:c>
      <x:c r="H70" s="14" t="str">
        <x:v>本次未复算；前次：前次复算一致，本次未重算；原始逐条输入快照未存档</x:v>
      </x:c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</x:row>
    <x:row r="71" ht="102" customHeight="1">
      <x:c r="A71" s="2" t="n">
        <x:v>91</x:v>
      </x:c>
      <x:c r="B71" s="10" t="n">
        <x:v>46273.61481481481</x:v>
      </x:c>
      <x:c r="C71" s="2" t="str">
        <x:v>豆粕</x:v>
      </x:c>
      <x:c r="D71" s="2" t="str">
        <x:v>苏冰</x:v>
      </x:c>
      <x:c r="E71" s="2" t="str">
        <x:v>15m</x:v>
      </x:c>
      <x:c r="F71" s="2" t="str">
        <x:v>逐条结果未留存</x:v>
      </x:c>
      <x:c r="G71" s="14" t="str">
        <x:v>【苏冰预警】豆粕（M）
合约：M2701　周期：15m
空头预警：MACD 死叉，收盘价位于 EMA21 下方
Bar：2026-09-08T06:45:00+00:00
请打开图表复核；仅供研究观察，不是交易指令。</x:v>
      </x:c>
      <x:c r="H71" s="14" t="str">
        <x:v>本次未复算；前次：前次复算一致，本次未重算；原始逐条输入快照未存档</x:v>
      </x:c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</x:row>
    <x:row r="72" ht="102" customHeight="1">
      <x:c r="A72" s="2" t="n">
        <x:v>92</x:v>
      </x:c>
      <x:c r="B72" s="10" t="n">
        <x:v>46273.625231481485</x:v>
      </x:c>
      <x:c r="C72" s="2" t="str">
        <x:v>焦煤</x:v>
      </x:c>
      <x:c r="D72" s="2" t="str">
        <x:v>火天大有</x:v>
      </x:c>
      <x:c r="E72" s="2" t="str">
        <x:v>5m</x:v>
      </x:c>
      <x:c r="F72" s="2" t="str">
        <x:v>逐条结果未留存</x:v>
      </x:c>
      <x:c r="G72" s="14" t="str">
        <x:v>火天大有：焦煤（JM）
合约：JM2701　周期：5m
观察：卖出观察
Bar：2026-09-08T07:00:00+00:00
仅供研究观察，不是交易指令。</x:v>
      </x:c>
      <x:c r="H72" s="14" t="str">
        <x:v>本次未复算；前次：当前输入复算一致；原始逐条输入快照未存档</x:v>
      </x:c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</x:row>
    <x:row r="73" ht="102" customHeight="1">
      <x:c r="A73" s="2" t="n">
        <x:v>93</x:v>
      </x:c>
      <x:c r="B73" s="10" t="n">
        <x:v>46273.62527777778</x:v>
      </x:c>
      <x:c r="C73" s="2" t="str">
        <x:v>多晶硅</x:v>
      </x:c>
      <x:c r="D73" s="2" t="str">
        <x:v>苏冰</x:v>
      </x:c>
      <x:c r="E73" s="2" t="str">
        <x:v>15m</x:v>
      </x:c>
      <x:c r="F73" s="2" t="str">
        <x:v>provider_accepted</x:v>
      </x:c>
      <x:c r="G73" s="14" t="str">
        <x:v>【苏冰预警】多晶硅（PS）
合约：PS2611　周期：15m
空头预警：MACD 死叉，收盘价位于 EMA21 下方
Bar：2026-09-08T07:00:00+00:00
请打开图表复核；仅供研究观察，不是交易指令。</x:v>
      </x:c>
      <x:c r="H73" s="14" t="str">
        <x:v>本次未复算；前次：前次复算一致，本次未重算；原始逐条输入快照未存档</x:v>
      </x:c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</x:row>
    <x:row r="74" ht="102" customHeight="1">
      <x:c r="A74" s="2" t="n">
        <x:v>94</x:v>
      </x:c>
      <x:c r="B74" s="10" t="n">
        <x:v>46273.88547453703</x:v>
      </x:c>
      <x:c r="C74" s="2" t="str">
        <x:v>菜粕</x:v>
      </x:c>
      <x:c r="D74" s="2" t="str">
        <x:v>苏冰</x:v>
      </x:c>
      <x:c r="E74" s="2" t="str">
        <x:v>15m</x:v>
      </x:c>
      <x:c r="F74" s="2" t="str">
        <x:v>逐条结果未留存</x:v>
      </x:c>
      <x:c r="G74" s="14" t="str">
        <x:v>【苏冰预警】菜粕（RM）
合约：RM2611　周期：15m
空头预警：MACD 死叉，收盘价位于 EMA21 下方
Bar：2026-09-08T13:15:00+00:00
请打开图表复核；仅供研究观察，不是交易指令。</x:v>
      </x:c>
      <x:c r="H74" s="14" t="str">
        <x:v>本次未复算；前次：前次复算一致，本次未重算；原始逐条输入快照未存档</x:v>
      </x:c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</x:row>
    <x:row r="75" ht="102" customHeight="1">
      <x:c r="A75" s="2" t="n">
        <x:v>95</x:v>
      </x:c>
      <x:c r="B75" s="10" t="n">
        <x:v>46273.88553240741</x:v>
      </x:c>
      <x:c r="C75" s="2" t="str">
        <x:v>沥青</x:v>
      </x:c>
      <x:c r="D75" s="2" t="str">
        <x:v>苏冰</x:v>
      </x:c>
      <x:c r="E75" s="2" t="str">
        <x:v>15m</x:v>
      </x:c>
      <x:c r="F75" s="2" t="str">
        <x:v>逐条结果未留存</x:v>
      </x:c>
      <x:c r="G75" s="14" t="str">
        <x:v>【苏冰预警】沥青（BU）
合约：BU2610　周期：15m
空头预警：MACD 死叉，收盘价位于 EMA21 下方
Bar：2026-09-08T13:15:00+00:00
请打开图表复核；仅供研究观察，不是交易指令。</x:v>
      </x:c>
      <x:c r="H75" s="14" t="str">
        <x:v>本次未复算；前次：前次复算一致，本次未重算；原始逐条输入快照未存档</x:v>
      </x:c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</x:row>
    <x:row r="76" ht="102" customHeight="1">
      <x:c r="A76" s="2" t="n">
        <x:v>96</x:v>
      </x:c>
      <x:c r="B76" s="10" t="n">
        <x:v>46273.88553240741</x:v>
      </x:c>
      <x:c r="C76" s="2" t="str">
        <x:v>铜</x:v>
      </x:c>
      <x:c r="D76" s="2" t="str">
        <x:v>苏冰</x:v>
      </x:c>
      <x:c r="E76" s="2" t="str">
        <x:v>15m</x:v>
      </x:c>
      <x:c r="F76" s="2" t="str">
        <x:v>逐条结果未留存</x:v>
      </x:c>
      <x:c r="G76" s="14" t="str">
        <x:v>【苏冰预警】铜（CU）
合约：CU2610　周期：15m
多头预警：MACD 金叉，收盘价位于 EMA21 上方
Bar：2026-09-08T13:15:00+00:00
请打开图表复核；仅供研究观察，不是交易指令。</x:v>
      </x:c>
      <x:c r="H76" s="14" t="str">
        <x:v>本次未复算；前次：前次复算一致，本次未重算；原始逐条输入快照未存档</x:v>
      </x:c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</x:row>
    <x:row r="77" ht="102" customHeight="1">
      <x:c r="A77" s="2" t="n">
        <x:v>97</x:v>
      </x:c>
      <x:c r="B77" s="10" t="n">
        <x:v>46273.88555555556</x:v>
      </x:c>
      <x:c r="C77" s="2" t="str">
        <x:v>锡</x:v>
      </x:c>
      <x:c r="D77" s="2" t="str">
        <x:v>苏冰</x:v>
      </x:c>
      <x:c r="E77" s="2" t="str">
        <x:v>15m</x:v>
      </x:c>
      <x:c r="F77" s="2" t="str">
        <x:v>逐条结果未留存</x:v>
      </x:c>
      <x:c r="G77" s="14" t="str">
        <x:v>【苏冰预警】锡（SN）
合约：SN2610　周期：15m
多头预警：MACD 金叉，收盘价位于 EMA21 上方
Bar：2026-09-08T13:15:00+00:00
请打开图表复核；仅供研究观察，不是交易指令。</x:v>
      </x:c>
      <x:c r="H77" s="14" t="str">
        <x:v>本次未复算；前次：前次复算一致，本次未重算；原始逐条输入快照未存档</x:v>
      </x:c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</x:row>
    <x:row r="78" ht="102" customHeight="1">
      <x:c r="A78" s="2" t="n">
        <x:v>98</x:v>
      </x:c>
      <x:c r="B78" s="10" t="n">
        <x:v>46273.8855787037</x:v>
      </x:c>
      <x:c r="C78" s="2" t="str">
        <x:v>铁矿石</x:v>
      </x:c>
      <x:c r="D78" s="2" t="str">
        <x:v>苏冰</x:v>
      </x:c>
      <x:c r="E78" s="2" t="str">
        <x:v>15m</x:v>
      </x:c>
      <x:c r="F78" s="2" t="str">
        <x:v>逐条结果未留存</x:v>
      </x:c>
      <x:c r="G78" s="14" t="str">
        <x:v>【苏冰预警】铁矿石（I）
合约：I2701　周期：15m
空头预警：MACD 死叉，收盘价位于 EMA21 下方
Bar：2026-09-08T13:15:00+00:00
请打开图表复核；仅供研究观察，不是交易指令。</x:v>
      </x:c>
      <x:c r="H78" s="14" t="str">
        <x:v>本次未复算；前次：前次复算一致，本次未重算；原始逐条输入快照未存档</x:v>
      </x:c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</x:row>
    <x:row r="79" ht="102" customHeight="1">
      <x:c r="A79" s="2" t="n">
        <x:v>99</x:v>
      </x:c>
      <x:c r="B79" s="10" t="n">
        <x:v>46273.88559027778</x:v>
      </x:c>
      <x:c r="C79" s="2" t="str">
        <x:v>焦煤</x:v>
      </x:c>
      <x:c r="D79" s="2" t="str">
        <x:v>火天大有</x:v>
      </x:c>
      <x:c r="E79" s="2" t="str">
        <x:v>15m</x:v>
      </x:c>
      <x:c r="F79" s="2" t="str">
        <x:v>逐条结果未留存</x:v>
      </x:c>
      <x:c r="G79" s="14" t="str">
        <x:v>火天大有：焦煤（JM）
合约：JM2701　周期：15m
观察：卖出观察
Bar：2026-09-08T13:15:00+00:00
仅供研究观察，不是交易指令。</x:v>
      </x:c>
      <x:c r="H79" s="14" t="str">
        <x:v>本次未复算；前次：公式复算数据不足；原始逐条输入快照未存档</x:v>
      </x:c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</x:row>
    <x:row r="80" ht="102" customHeight="1">
      <x:c r="A80" s="2" t="n">
        <x:v>100</x:v>
      </x:c>
      <x:c r="B80" s="10" t="n">
        <x:v>46273.895902777775</x:v>
      </x:c>
      <x:c r="C80" s="2" t="str">
        <x:v>铝</x:v>
      </x:c>
      <x:c r="D80" s="2" t="str">
        <x:v>苏冰</x:v>
      </x:c>
      <x:c r="E80" s="2" t="str">
        <x:v>15m</x:v>
      </x:c>
      <x:c r="F80" s="2" t="str">
        <x:v>逐条结果未留存</x:v>
      </x:c>
      <x:c r="G80" s="14" t="str">
        <x:v>【苏冰预警】铝（AL）
合约：AL2610　周期：15m
多头预警：MACD 金叉，收盘价位于 EMA21 上方
Bar：2026-09-08T13:30:00+00:00
请打开图表复核；仅供研究观察，不是交易指令。</x:v>
      </x:c>
      <x:c r="H80" s="14" t="str">
        <x:v>本次未复算；前次：前次复算一致，本次未重算；原始逐条输入快照未存档</x:v>
      </x:c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</x:row>
    <x:row r="81" ht="102" customHeight="1">
      <x:c r="A81" s="2" t="n">
        <x:v>101</x:v>
      </x:c>
      <x:c r="B81" s="10" t="n">
        <x:v>46273.895902777775</x:v>
      </x:c>
      <x:c r="C81" s="2" t="str">
        <x:v>燃料油</x:v>
      </x:c>
      <x:c r="D81" s="2" t="str">
        <x:v>苏冰</x:v>
      </x:c>
      <x:c r="E81" s="2" t="str">
        <x:v>15m</x:v>
      </x:c>
      <x:c r="F81" s="2" t="str">
        <x:v>逐条结果未留存</x:v>
      </x:c>
      <x:c r="G81" s="14" t="str">
        <x:v>【苏冰预警】燃料油（FU）
合约：FU2611　周期：15m
空头预警：MACD 死叉，收盘价位于 EMA21 下方
Bar：2026-09-08T13:30:00+00:00
请打开图表复核；仅供研究观察，不是交易指令。</x:v>
      </x:c>
      <x:c r="H81" s="14" t="str">
        <x:v>本次未复算；前次：前次复算一致，本次未重算；原始逐条输入快照未存档</x:v>
      </x:c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</x:row>
    <x:row r="82" ht="102" customHeight="1">
      <x:c r="A82" s="2" t="n">
        <x:v>102</x:v>
      </x:c>
      <x:c r="B82" s="10" t="n">
        <x:v>46273.89591435185</x:v>
      </x:c>
      <x:c r="C82" s="2" t="str">
        <x:v>热轧卷板</x:v>
      </x:c>
      <x:c r="D82" s="2" t="str">
        <x:v>苏冰</x:v>
      </x:c>
      <x:c r="E82" s="2" t="str">
        <x:v>15m</x:v>
      </x:c>
      <x:c r="F82" s="2" t="str">
        <x:v>逐条结果未留存</x:v>
      </x:c>
      <x:c r="G82" s="14" t="str">
        <x:v>【苏冰预警】热轧卷板（HC）
合约：HC2701　周期：15m
空头预警：MACD 死叉，收盘价位于 EMA21 下方
Bar：2026-09-08T13:30:00+00:00
请打开图表复核；仅供研究观察，不是交易指令。</x:v>
      </x:c>
      <x:c r="H82" s="14" t="str">
        <x:v>本次未复算；前次：前次复算一致，本次未重算；原始逐条输入快照未存档</x:v>
      </x:c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</x:row>
    <x:row r="83" ht="102" customHeight="1">
      <x:c r="A83" s="2" t="n">
        <x:v>103</x:v>
      </x:c>
      <x:c r="B83" s="10" t="n">
        <x:v>46273.89591435185</x:v>
      </x:c>
      <x:c r="C83" s="2" t="str">
        <x:v>螺纹钢</x:v>
      </x:c>
      <x:c r="D83" s="2" t="str">
        <x:v>苏冰</x:v>
      </x:c>
      <x:c r="E83" s="2" t="str">
        <x:v>15m</x:v>
      </x:c>
      <x:c r="F83" s="2" t="str">
        <x:v>逐条结果未留存</x:v>
      </x:c>
      <x:c r="G83" s="14" t="str">
        <x:v>【苏冰预警】螺纹钢（RB）
合约：RB2701　周期：15m
空头预警：MACD 死叉，收盘价位于 EMA21 下方
Bar：2026-09-08T13:30:00+00:00
请打开图表复核；仅供研究观察，不是交易指令。</x:v>
      </x:c>
      <x:c r="H83" s="14" t="str">
        <x:v>本次未复算；前次：前次复算一致，本次未重算；原始逐条输入快照未存档</x:v>
      </x:c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</x:row>
    <x:row r="84" ht="102" customHeight="1">
      <x:c r="A84" s="2" t="n">
        <x:v>104</x:v>
      </x:c>
      <x:c r="B84" s="10" t="n">
        <x:v>46273.89592592593</x:v>
      </x:c>
      <x:c r="C84" s="2" t="str">
        <x:v>聚乙烯</x:v>
      </x:c>
      <x:c r="D84" s="2" t="str">
        <x:v>苏冰</x:v>
      </x:c>
      <x:c r="E84" s="2" t="str">
        <x:v>15m</x:v>
      </x:c>
      <x:c r="F84" s="2" t="str">
        <x:v>逐条结果未留存</x:v>
      </x:c>
      <x:c r="G84" s="14" t="str">
        <x:v>【苏冰预警】聚乙烯（L）
合约：L2701　周期：15m
空头预警：MACD 死叉，收盘价位于 EMA21 下方
Bar：2026-09-08T13:30:00+00:00
请打开图表复核；仅供研究观察，不是交易指令。</x:v>
      </x:c>
      <x:c r="H84" s="14" t="str">
        <x:v>本次未复算；前次：前次复算一致，本次未重算；原始逐条输入快照未存档</x:v>
      </x:c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</x:row>
    <x:row r="85" ht="102" customHeight="1">
      <x:c r="A85" s="2" t="n">
        <x:v>105</x:v>
      </x:c>
      <x:c r="B85" s="10" t="n">
        <x:v>46273.8959375</x:v>
      </x:c>
      <x:c r="C85" s="2" t="str">
        <x:v>pvc</x:v>
      </x:c>
      <x:c r="D85" s="2" t="str">
        <x:v>苏冰</x:v>
      </x:c>
      <x:c r="E85" s="2" t="str">
        <x:v>15m</x:v>
      </x:c>
      <x:c r="F85" s="2" t="str">
        <x:v>逐条结果未留存</x:v>
      </x:c>
      <x:c r="G85" s="14" t="str">
        <x:v>【苏冰预警】pvc（V）
合约：V2701　周期：15m
空头预警：MACD 死叉，收盘价位于 EMA21 下方
Bar：2026-09-08T13:30:00+00:00
请打开图表复核；仅供研究观察，不是交易指令。</x:v>
      </x:c>
      <x:c r="H85" s="14" t="str">
        <x:v>本次未复算；前次：前次复算一致，本次未重算；原始逐条输入快照未存档</x:v>
      </x:c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</x:row>
    <x:row r="86" ht="102" customHeight="1">
      <x:c r="A86" s="2" t="n">
        <x:v>106</x:v>
      </x:c>
      <x:c r="B86" s="10" t="n">
        <x:v>46273.9062962963</x:v>
      </x:c>
      <x:c r="C86" s="2" t="str">
        <x:v>丙烯</x:v>
      </x:c>
      <x:c r="D86" s="2" t="str">
        <x:v>苏冰</x:v>
      </x:c>
      <x:c r="E86" s="2" t="str">
        <x:v>15m</x:v>
      </x:c>
      <x:c r="F86" s="2" t="str">
        <x:v>逐条结果未留存</x:v>
      </x:c>
      <x:c r="G86" s="14" t="str">
        <x:v>【苏冰预警】丙烯（PR）
合约：PR2611　周期：15m
空头预警：MACD 死叉，收盘价位于 EMA21 下方
Bar：2026-09-08T13:45:00+00:00
请打开图表复核；仅供研究观察，不是交易指令。</x:v>
      </x:c>
      <x:c r="H86" s="14" t="str">
        <x:v>本次未复算；前次：前次复算一致，本次未重算；原始逐条输入快照未存档</x:v>
      </x:c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</x:row>
    <x:row r="87" ht="102" customHeight="1">
      <x:c r="A87" s="2" t="n">
        <x:v>107</x:v>
      </x:c>
      <x:c r="B87" s="10" t="n">
        <x:v>46273.906331018516</x:v>
      </x:c>
      <x:c r="C87" s="2" t="str">
        <x:v>锡</x:v>
      </x:c>
      <x:c r="D87" s="2" t="str">
        <x:v>苏冰</x:v>
      </x:c>
      <x:c r="E87" s="2" t="str">
        <x:v>15m</x:v>
      </x:c>
      <x:c r="F87" s="2" t="str">
        <x:v>逐条结果未留存</x:v>
      </x:c>
      <x:c r="G87" s="14" t="str">
        <x:v>【苏冰预警】锡（SN）
合约：SN2610　周期：15m
空头预警：MACD 死叉，收盘价位于 EMA21 下方
Bar：2026-09-08T13:45:00+00:00
请打开图表复核；仅供研究观察，不是交易指令。</x:v>
      </x:c>
      <x:c r="H87" s="14" t="str">
        <x:v>本次未复算；前次：前次复算一致，本次未重算；原始逐条输入快照未存档</x:v>
      </x:c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</x:row>
    <x:row r="88" ht="102" customHeight="1">
      <x:c r="A88" s="2" t="n">
        <x:v>108</x:v>
      </x:c>
      <x:c r="B88" s="10" t="n">
        <x:v>46273.90634259259</x:v>
      </x:c>
      <x:c r="C88" s="2" t="str">
        <x:v>乙二醇</x:v>
      </x:c>
      <x:c r="D88" s="2" t="str">
        <x:v>苏冰</x:v>
      </x:c>
      <x:c r="E88" s="2" t="str">
        <x:v>15m</x:v>
      </x:c>
      <x:c r="F88" s="2" t="str">
        <x:v>逐条结果未留存</x:v>
      </x:c>
      <x:c r="G88" s="14" t="str">
        <x:v>【苏冰预警】乙二醇（EG）
合约：EG2610　周期：15m
空头预警：MACD 死叉，收盘价位于 EMA21 下方
Bar：2026-09-08T13:45:00+00:00
请打开图表复核；仅供研究观察，不是交易指令。</x:v>
      </x:c>
      <x:c r="H88" s="14" t="str">
        <x:v>本次未复算；前次：前次复算一致，本次未重算；原始逐条输入快照未存档</x:v>
      </x:c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</x:row>
    <x:row r="89" ht="102" customHeight="1">
      <x:c r="A89" s="2" t="n">
        <x:v>109</x:v>
      </x:c>
      <x:c r="B89" s="10" t="n">
        <x:v>46273.91674768519</x:v>
      </x:c>
      <x:c r="C89" s="2" t="str">
        <x:v>苯乙烯</x:v>
      </x:c>
      <x:c r="D89" s="2" t="str">
        <x:v>苏冰</x:v>
      </x:c>
      <x:c r="E89" s="2" t="str">
        <x:v>15m</x:v>
      </x:c>
      <x:c r="F89" s="2" t="str">
        <x:v>逐条结果未留存</x:v>
      </x:c>
      <x:c r="G89" s="14" t="str">
        <x:v>【苏冰预警】苯乙烯（EB）
合约：EB2610　周期：15m
空头预警：MACD 死叉，收盘价位于 EMA21 下方
Bar：2026-09-08T14:00:00+00:00
请打开图表复核；仅供研究观察，不是交易指令。</x:v>
      </x:c>
      <x:c r="H89" s="14" t="str">
        <x:v>本次未复算；前次：前次复算一致，本次未重算；原始逐条输入快照未存档</x:v>
      </x:c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</x:row>
    <x:row r="90" ht="102" customHeight="1">
      <x:c r="A90" s="2" t="n">
        <x:v>110</x:v>
      </x:c>
      <x:c r="B90" s="10" t="n">
        <x:v>46273.92716435185</x:v>
      </x:c>
      <x:c r="C90" s="2" t="str">
        <x:v>玉米</x:v>
      </x:c>
      <x:c r="D90" s="2" t="str">
        <x:v>苏冰</x:v>
      </x:c>
      <x:c r="E90" s="2" t="str">
        <x:v>15m</x:v>
      </x:c>
      <x:c r="F90" s="2" t="str">
        <x:v>逐条结果未留存</x:v>
      </x:c>
      <x:c r="G90" s="14" t="str">
        <x:v>【苏冰预警】玉米（C）
合约：C2611　周期：15m
空头预警：MACD 死叉，收盘价位于 EMA21 下方
Bar：2026-09-08T14:15:00+00:00
请打开图表复核；仅供研究观察，不是交易指令。</x:v>
      </x:c>
      <x:c r="H90" s="14" t="str">
        <x:v>本次未复算；前次：前次复算一致，本次未重算；原始逐条输入快照未存档</x:v>
      </x:c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</x:row>
    <x:row r="91" ht="102" customHeight="1">
      <x:c r="A91" s="2" t="n">
        <x:v>111</x:v>
      </x:c>
      <x:c r="B91" s="10" t="n">
        <x:v>46273.93759259259</x:v>
      </x:c>
      <x:c r="C91" s="2" t="str">
        <x:v>pvc</x:v>
      </x:c>
      <x:c r="D91" s="2" t="str">
        <x:v>苏冰</x:v>
      </x:c>
      <x:c r="E91" s="2" t="str">
        <x:v>15m</x:v>
      </x:c>
      <x:c r="F91" s="2" t="str">
        <x:v>逐条结果未留存</x:v>
      </x:c>
      <x:c r="G91" s="14" t="str">
        <x:v>【苏冰预警】pvc（V）
合约：V2701　周期：15m
多头预警：MACD 金叉，收盘价位于 EMA21 上方
Bar：2026-09-08T14:30:00+00:00
请打开图表复核；仅供研究观察，不是交易指令。</x:v>
      </x:c>
      <x:c r="H91" s="14" t="str">
        <x:v>本次未复算；前次：前次复算一致，本次未重算；原始逐条输入快照未存档</x:v>
      </x:c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</x:row>
    <x:row r="92" ht="102" customHeight="1">
      <x:c r="A92" s="2" t="n">
        <x:v>112</x:v>
      </x:c>
      <x:c r="B92" s="10" t="n">
        <x:v>46274.02086805556</x:v>
      </x:c>
      <x:c r="C92" s="2" t="str">
        <x:v>不锈钢</x:v>
      </x:c>
      <x:c r="D92" s="2" t="str">
        <x:v>苏冰</x:v>
      </x:c>
      <x:c r="E92" s="2" t="str">
        <x:v>15m</x:v>
      </x:c>
      <x:c r="F92" s="2" t="str">
        <x:v>逐条结果未留存</x:v>
      </x:c>
      <x:c r="G92" s="14" t="str">
        <x:v>【苏冰预警】不锈钢（SS）
合约：SS2610　周期：15m
空头预警：MACD 死叉，收盘价位于 EMA21 下方
Bar：2026-09-08T16:30:00+00:00
请打开图表复核；仅供研究观察，不是交易指令。</x:v>
      </x:c>
      <x:c r="H92" s="14" t="str">
        <x:v>本次未复算；前次：前次复算一致，本次未重算；原始逐条输入快照未存档</x:v>
      </x:c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</x:row>
    <x:row r="93" ht="102" customHeight="1">
      <x:c r="A93" s="2" t="n">
        <x:v>113</x:v>
      </x:c>
      <x:c r="B93" s="10" t="n">
        <x:v>46274.07295138889</x:v>
      </x:c>
      <x:c r="C93" s="2" t="str">
        <x:v>黄金</x:v>
      </x:c>
      <x:c r="D93" s="2" t="str">
        <x:v>苏冰</x:v>
      </x:c>
      <x:c r="E93" s="2" t="str">
        <x:v>15m</x:v>
      </x:c>
      <x:c r="F93" s="2" t="str">
        <x:v>逐条结果未留存</x:v>
      </x:c>
      <x:c r="G93" s="14" t="str">
        <x:v>【苏冰预警】黄金（AU）
合约：AU2610　周期：15m
空头预警：MACD 死叉，收盘价位于 EMA21 下方
Bar：2026-09-08T17:45:00+00:00
请打开图表复核；仅供研究观察，不是交易指令。</x:v>
      </x:c>
      <x:c r="H93" s="14" t="str">
        <x:v>本次未复算；前次：前次复算一致，本次未重算；原始逐条输入快照未存档</x:v>
      </x:c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</x:row>
    <x:row r="94" ht="102" customHeight="1">
      <x:c r="A94" s="2" t="n">
        <x:v>114</x:v>
      </x:c>
      <x:c r="B94" s="10" t="n">
        <x:v>46274.385462962964</x:v>
      </x:c>
      <x:c r="C94" s="2" t="str">
        <x:v>玻璃</x:v>
      </x:c>
      <x:c r="D94" s="2" t="str">
        <x:v>苏冰</x:v>
      </x:c>
      <x:c r="E94" s="2" t="str">
        <x:v>15m</x:v>
      </x:c>
      <x:c r="F94" s="2" t="str">
        <x:v>逐条结果未留存</x:v>
      </x:c>
      <x:c r="G94" s="14" t="str">
        <x:v>【苏冰预警】玻璃（FG）
合约：FG2701　周期：15m
空头预警：MACD 死叉，收盘价位于 EMA21 下方
Bar：2026-09-09T01:15:00+00:00
请打开图表复核；仅供研究观察，不是交易指令。</x:v>
      </x:c>
      <x:c r="H94" s="14" t="str">
        <x:v>本次未复算；前次：前次复算一致，本次未重算；原始逐条输入快照未存档</x:v>
      </x:c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</x:row>
    <x:row r="95" ht="102" customHeight="1">
      <x:c r="A95" s="2" t="n">
        <x:v>115</x:v>
      </x:c>
      <x:c r="B95" s="10" t="n">
        <x:v>46274.38550925926</x:v>
      </x:c>
      <x:c r="C95" s="2" t="str">
        <x:v>白银</x:v>
      </x:c>
      <x:c r="D95" s="2" t="str">
        <x:v>苏冰</x:v>
      </x:c>
      <x:c r="E95" s="2" t="str">
        <x:v>15m</x:v>
      </x:c>
      <x:c r="F95" s="2" t="str">
        <x:v>逐条结果未留存</x:v>
      </x:c>
      <x:c r="G95" s="14" t="str">
        <x:v>【苏冰预警】白银（AG）
合约：AG2610　周期：15m
空头预警：MACD 死叉，收盘价位于 EMA21 下方
Bar：2026-09-09T01:15:00+00:00
请打开图表复核；仅供研究观察，不是交易指令。</x:v>
      </x:c>
      <x:c r="H95" s="14" t="str">
        <x:v>本次未复算；前次：前次复算一致，本次未重算；原始逐条输入快照未存档</x:v>
      </x:c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</x:row>
    <x:row r="96" ht="102" customHeight="1">
      <x:c r="A96" s="2" t="n">
        <x:v>116</x:v>
      </x:c>
      <x:c r="B96" s="10" t="n">
        <x:v>46274.38552083333</x:v>
      </x:c>
      <x:c r="C96" s="2" t="str">
        <x:v>原油</x:v>
      </x:c>
      <x:c r="D96" s="2" t="str">
        <x:v>苏冰</x:v>
      </x:c>
      <x:c r="E96" s="2" t="str">
        <x:v>15m</x:v>
      </x:c>
      <x:c r="F96" s="2" t="str">
        <x:v>逐条结果未留存</x:v>
      </x:c>
      <x:c r="G96" s="14" t="str">
        <x:v>【苏冰预警】原油（SC）
合约：SC2610　周期：15m
多头预警：MACD 金叉，收盘价位于 EMA21 上方
Bar：2026-09-09T01:15:00+00:00
请打开图表复核；仅供研究观察，不是交易指令。</x:v>
      </x:c>
      <x:c r="H96" s="14" t="str">
        <x:v>本次未复算；前次：前次复算一致，本次未重算；原始逐条输入快照未存档</x:v>
      </x:c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</x:row>
    <x:row r="97" ht="102" customHeight="1">
      <x:c r="A97" s="2" t="n">
        <x:v>117</x:v>
      </x:c>
      <x:c r="B97" s="10" t="n">
        <x:v>46274.38552083333</x:v>
      </x:c>
      <x:c r="C97" s="2" t="str">
        <x:v>铝</x:v>
      </x:c>
      <x:c r="D97" s="2" t="str">
        <x:v>苏冰</x:v>
      </x:c>
      <x:c r="E97" s="2" t="str">
        <x:v>15m</x:v>
      </x:c>
      <x:c r="F97" s="2" t="str">
        <x:v>逐条结果未留存</x:v>
      </x:c>
      <x:c r="G97" s="14" t="str">
        <x:v>【苏冰预警】铝（AL）
合约：AL2610　周期：15m
空头预警：MACD 死叉，收盘价位于 EMA21 下方
Bar：2026-09-09T01:15:00+00:00
请打开图表复核；仅供研究观察，不是交易指令。</x:v>
      </x:c>
      <x:c r="H97" s="14" t="str">
        <x:v>本次未复算；前次：前次复算一致，本次未重算；原始逐条输入快照未存档</x:v>
      </x:c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</x:row>
    <x:row r="98" ht="102" customHeight="1">
      <x:c r="A98" s="2" t="n">
        <x:v>118</x:v>
      </x:c>
      <x:c r="B98" s="10" t="n">
        <x:v>46274.38554398148</x:v>
      </x:c>
      <x:c r="C98" s="2" t="str">
        <x:v>纯苯</x:v>
      </x:c>
      <x:c r="D98" s="2" t="str">
        <x:v>苏冰</x:v>
      </x:c>
      <x:c r="E98" s="2" t="str">
        <x:v>15m</x:v>
      </x:c>
      <x:c r="F98" s="2" t="str">
        <x:v>逐条结果未留存</x:v>
      </x:c>
      <x:c r="G98" s="14" t="str">
        <x:v>【苏冰预警】纯苯（BZ）
合约：BZ2610　周期：15m
多头预警：MACD 金叉，收盘价位于 EMA21 上方
Bar：2026-09-09T01:15:00+00:00
请打开图表复核；仅供研究观察，不是交易指令。</x:v>
      </x:c>
      <x:c r="H98" s="14" t="str">
        <x:v>本次未复算；前次：前次复算一致，本次未重算；原始逐条输入快照未存档</x:v>
      </x:c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</x:row>
    <x:row r="99" ht="102" customHeight="1">
      <x:c r="A99" s="2" t="n">
        <x:v>119</x:v>
      </x:c>
      <x:c r="B99" s="10" t="n">
        <x:v>46274.38555555556</x:v>
      </x:c>
      <x:c r="C99" s="2" t="str">
        <x:v>燃料油</x:v>
      </x:c>
      <x:c r="D99" s="2" t="str">
        <x:v>苏冰</x:v>
      </x:c>
      <x:c r="E99" s="2" t="str">
        <x:v>15m</x:v>
      </x:c>
      <x:c r="F99" s="2" t="str">
        <x:v>逐条结果未留存</x:v>
      </x:c>
      <x:c r="G99" s="14" t="str">
        <x:v>【苏冰预警】燃料油（FU）
合约：FU2611　周期：15m
多头预警：MACD 金叉，收盘价位于 EMA21 上方
Bar：2026-09-09T01:15:00+00:00
请打开图表复核；仅供研究观察，不是交易指令。</x:v>
      </x:c>
      <x:c r="H99" s="14" t="str">
        <x:v>本次未复算；前次：前次复算一致，本次未重算；原始逐条输入快照未存档</x:v>
      </x:c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</x:row>
    <x:row r="100" ht="102" customHeight="1">
      <x:c r="A100" s="2" t="n">
        <x:v>120</x:v>
      </x:c>
      <x:c r="B100" s="10" t="n">
        <x:v>46274.38559027778</x:v>
      </x:c>
      <x:c r="C100" s="2" t="str">
        <x:v>苯乙烯</x:v>
      </x:c>
      <x:c r="D100" s="2" t="str">
        <x:v>苏冰</x:v>
      </x:c>
      <x:c r="E100" s="2" t="str">
        <x:v>15m</x:v>
      </x:c>
      <x:c r="F100" s="2" t="str">
        <x:v>逐条结果未留存</x:v>
      </x:c>
      <x:c r="G100" s="14" t="str">
        <x:v>【苏冰预警】苯乙烯（EB）
合约：EB2610　周期：15m
多头预警：MACD 金叉，收盘价位于 EMA21 上方
Bar：2026-09-09T01:15:00+00:00
请打开图表复核；仅供研究观察，不是交易指令。</x:v>
      </x:c>
      <x:c r="H100" s="14" t="str">
        <x:v>本次未复算；前次：前次复算一致，本次未重算；原始逐条输入快照未存档</x:v>
      </x:c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</x:row>
    <x:row r="101" ht="102" customHeight="1">
      <x:c r="A101" s="2" t="n">
        <x:v>121</x:v>
      </x:c>
      <x:c r="B101" s="10" t="n">
        <x:v>46274.385625</x:v>
      </x:c>
      <x:c r="C101" s="2" t="str">
        <x:v>聚丙烯</x:v>
      </x:c>
      <x:c r="D101" s="2" t="str">
        <x:v>苏冰</x:v>
      </x:c>
      <x:c r="E101" s="2" t="str">
        <x:v>15m</x:v>
      </x:c>
      <x:c r="F101" s="2" t="str">
        <x:v>逐条结果未留存</x:v>
      </x:c>
      <x:c r="G101" s="14" t="str">
        <x:v>【苏冰预警】聚丙烯（PP）
合约：PP2701　周期：15m
多头预警：MACD 金叉，收盘价位于 EMA21 上方
Bar：2026-09-09T01:15:00+00:00
请打开图表复核；仅供研究观察，不是交易指令。</x:v>
      </x:c>
      <x:c r="H101" s="14" t="str">
        <x:v>本次未复算；前次：前次复算一致，本次未重算；原始逐条输入快照未存档</x:v>
      </x:c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</x:row>
    <x:row r="102" ht="102" customHeight="1">
      <x:c r="A102" s="2" t="n">
        <x:v>122</x:v>
      </x:c>
      <x:c r="B102" s="10" t="n">
        <x:v>46274.38563657407</x:v>
      </x:c>
      <x:c r="C102" s="2" t="str">
        <x:v>多晶硅</x:v>
      </x:c>
      <x:c r="D102" s="2" t="str">
        <x:v>苏冰</x:v>
      </x:c>
      <x:c r="E102" s="2" t="str">
        <x:v>15m</x:v>
      </x:c>
      <x:c r="F102" s="2" t="str">
        <x:v>逐条结果未留存</x:v>
      </x:c>
      <x:c r="G102" s="14" t="str">
        <x:v>【苏冰预警】多晶硅（PS）
合约：PS2611　周期：15m
多头预警：MACD 金叉，收盘价位于 EMA21 上方
Bar：2026-09-09T01:15:00+00:00
请打开图表复核；仅供研究观察，不是交易指令。</x:v>
      </x:c>
      <x:c r="H102" s="14" t="str">
        <x:v>本次未复算；前次：前次复算一致，本次未重算；原始逐条输入快照未存档</x:v>
      </x:c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</x:row>
    <x:row r="103" ht="102" customHeight="1">
      <x:c r="A103" s="2" t="n">
        <x:v>123</x:v>
      </x:c>
      <x:c r="B103" s="10" t="n">
        <x:v>46274.38893518518</x:v>
      </x:c>
      <x:c r="C103" s="2" t="str">
        <x:v>焦煤</x:v>
      </x:c>
      <x:c r="D103" s="2" t="str">
        <x:v>火天大有</x:v>
      </x:c>
      <x:c r="E103" s="2" t="str">
        <x:v>5m</x:v>
      </x:c>
      <x:c r="F103" s="2" t="str">
        <x:v>逐条结果未留存</x:v>
      </x:c>
      <x:c r="G103" s="14" t="str">
        <x:v>火天大有：焦煤（JM）
合约：JM2701　周期：5m
观察：买入观察
Bar：2026-09-09T01:20:00+00:00
仅供研究观察，不是交易指令。</x:v>
      </x:c>
      <x:c r="H103" s="14" t="str">
        <x:v>本次未复算；前次：公式复算数据不足；原始逐条输入快照未存档</x:v>
      </x:c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</x:row>
    <x:row r="104" ht="102" customHeight="1">
      <x:c r="A104" s="2" t="n">
        <x:v>124</x:v>
      </x:c>
      <x:c r="B104" s="10" t="n">
        <x:v>46274.395891203705</x:v>
      </x:c>
      <x:c r="C104" s="2" t="str">
        <x:v>纯碱</x:v>
      </x:c>
      <x:c r="D104" s="2" t="str">
        <x:v>苏冰</x:v>
      </x:c>
      <x:c r="E104" s="2" t="str">
        <x:v>15m</x:v>
      </x:c>
      <x:c r="F104" s="2" t="str">
        <x:v>逐条结果未留存</x:v>
      </x:c>
      <x:c r="G104" s="14" t="str">
        <x:v>【苏冰预警】纯碱（SA）
合约：SA2701　周期：15m
空头预警：MACD 死叉，收盘价位于 EMA21 下方
Bar：2026-09-09T01:30:00+00:00
请打开图表复核；仅供研究观察，不是交易指令。</x:v>
      </x:c>
      <x:c r="H104" s="14" t="str">
        <x:v>本次未复算；前次：前次复算一致，本次未重算；原始逐条输入快照未存档</x:v>
      </x:c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</x:row>
    <x:row r="105" ht="102" customHeight="1">
      <x:c r="A105" s="2" t="n">
        <x:v>125</x:v>
      </x:c>
      <x:c r="B105" s="10" t="n">
        <x:v>46274.3959837963</x:v>
      </x:c>
      <x:c r="C105" s="2" t="str">
        <x:v>瓶片</x:v>
      </x:c>
      <x:c r="D105" s="2" t="str">
        <x:v>苏冰</x:v>
      </x:c>
      <x:c r="E105" s="2" t="str">
        <x:v>15m</x:v>
      </x:c>
      <x:c r="F105" s="2" t="str">
        <x:v>逐条结果未留存</x:v>
      </x:c>
      <x:c r="G105" s="14" t="str">
        <x:v>【苏冰预警】瓶片（PL）
合约：PL2611　周期：15m
多头预警：MACD 金叉，收盘价位于 EMA21 上方
Bar：2026-09-09T01:30:00+00:00
请打开图表复核；仅供研究观察，不是交易指令。</x:v>
      </x:c>
      <x:c r="H105" s="14" t="str">
        <x:v>本次未复算；前次：前次复算一致，本次未重算；原始逐条输入快照未存档</x:v>
      </x:c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</x:row>
    <x:row r="106" ht="102" customHeight="1">
      <x:c r="A106" s="2" t="n">
        <x:v>126</x:v>
      </x:c>
      <x:c r="B106" s="10" t="n">
        <x:v>46274.39607638889</x:v>
      </x:c>
      <x:c r="C106" s="2" t="str">
        <x:v>聚乙烯</x:v>
      </x:c>
      <x:c r="D106" s="2" t="str">
        <x:v>苏冰</x:v>
      </x:c>
      <x:c r="E106" s="2" t="str">
        <x:v>15m</x:v>
      </x:c>
      <x:c r="F106" s="2" t="str">
        <x:v>逐条结果未留存</x:v>
      </x:c>
      <x:c r="G106" s="14" t="str">
        <x:v>【苏冰预警】聚乙烯（L）
合约：L2701　周期：15m
多头预警：MACD 金叉，收盘价位于 EMA21 上方
Bar：2026-09-09T01:30:00+00:00
请打开图表复核；仅供研究观察，不是交易指令。</x:v>
      </x:c>
      <x:c r="H106" s="14" t="str">
        <x:v>本次未复算；前次：前次复算一致，本次未重算；原始逐条输入快照未存档</x:v>
      </x:c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</x:row>
    <x:row r="107" ht="102" customHeight="1">
      <x:c r="A107" s="2" t="n">
        <x:v>127</x:v>
      </x:c>
      <x:c r="B107" s="10" t="n">
        <x:v>46274.39612268518</x:v>
      </x:c>
      <x:c r="C107" s="2" t="str">
        <x:v>液化石油气</x:v>
      </x:c>
      <x:c r="D107" s="2" t="str">
        <x:v>苏冰</x:v>
      </x:c>
      <x:c r="E107" s="2" t="str">
        <x:v>15m</x:v>
      </x:c>
      <x:c r="F107" s="2" t="str">
        <x:v>逐条结果未留存</x:v>
      </x:c>
      <x:c r="G107" s="14" t="str">
        <x:v>【苏冰预警】液化石油气（PG）
合约：PG2610　周期：15m
多头预警：MACD 金叉，收盘价位于 EMA21 上方
Bar：2026-09-09T01:30:00+00:00
请打开图表复核；仅供研究观察，不是交易指令。</x:v>
      </x:c>
      <x:c r="H107" s="14" t="str">
        <x:v>本次未复算；前次：前次复算一致，本次未重算；原始逐条输入快照未存档</x:v>
      </x:c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</x:row>
    <x:row r="108" ht="102" customHeight="1">
      <x:c r="A108" s="2" t="n">
        <x:v>128</x:v>
      </x:c>
      <x:c r="B108" s="10" t="n">
        <x:v>46274.406331018516</x:v>
      </x:c>
      <x:c r="C108" s="2" t="str">
        <x:v>豆油</x:v>
      </x:c>
      <x:c r="D108" s="2" t="str">
        <x:v>苏冰</x:v>
      </x:c>
      <x:c r="E108" s="2" t="str">
        <x:v>15m</x:v>
      </x:c>
      <x:c r="F108" s="2" t="str">
        <x:v>逐条结果未留存</x:v>
      </x:c>
      <x:c r="G108" s="14" t="str">
        <x:v>【苏冰预警】豆油（Y）
合约：Y2701　周期：15m
多头预警：MACD 金叉，收盘价位于 EMA21 上方
Bar：2026-09-09T01:45:00+00:00
请打开图表复核；仅供研究观察，不是交易指令。</x:v>
      </x:c>
      <x:c r="H108" s="14" t="str">
        <x:v>本次未复算；前次：前次复算一致，本次未重算；原始逐条输入快照未存档</x:v>
      </x:c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</x:row>
    <x:row r="109" ht="102" customHeight="1">
      <x:c r="A109" s="2" t="n">
        <x:v>129</x:v>
      </x:c>
      <x:c r="B109" s="10" t="n">
        <x:v>46274.40634259259</x:v>
      </x:c>
      <x:c r="C109" s="2" t="str">
        <x:v>硅铁</x:v>
      </x:c>
      <x:c r="D109" s="2" t="str">
        <x:v>苏冰</x:v>
      </x:c>
      <x:c r="E109" s="2" t="str">
        <x:v>15m</x:v>
      </x:c>
      <x:c r="F109" s="2" t="str">
        <x:v>逐条结果未留存</x:v>
      </x:c>
      <x:c r="G109" s="14" t="str">
        <x:v>【苏冰预警】硅铁（SF）
合约：SF2611　周期：15m
空头预警：MACD 死叉，收盘价位于 EMA21 下方
Bar：2026-09-09T01:45:00+00:00
请打开图表复核；仅供研究观察，不是交易指令。</x:v>
      </x:c>
      <x:c r="H109" s="14" t="str">
        <x:v>本次未复算；前次：前次复算一致，本次未重算；原始逐条输入快照未存档</x:v>
      </x:c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</x:row>
    <x:row r="110" ht="102" customHeight="1">
      <x:c r="A110" s="2" t="n">
        <x:v>130</x:v>
      </x:c>
      <x:c r="B110" s="10" t="n">
        <x:v>46274.41675925926</x:v>
      </x:c>
      <x:c r="C110" s="2" t="str">
        <x:v>焦煤</x:v>
      </x:c>
      <x:c r="D110" s="2" t="str">
        <x:v>火天大有</x:v>
      </x:c>
      <x:c r="E110" s="2" t="str">
        <x:v>5m</x:v>
      </x:c>
      <x:c r="F110" s="2" t="str">
        <x:v>逐条结果未留存</x:v>
      </x:c>
      <x:c r="G110" s="14" t="str">
        <x:v>火天大有：焦煤（JM）
合约：JM2701　周期：5m
观察：买入观察
Bar：2026-09-09T02:00:00+00:00
仅供研究观察，不是交易指令。</x:v>
      </x:c>
      <x:c r="H110" s="14" t="str">
        <x:v>本次未复算；前次：公式复算数据不足；原始逐条输入快照未存档</x:v>
      </x:c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</x:row>
    <x:row r="111" ht="102" customHeight="1">
      <x:c r="A111" s="2" t="n">
        <x:v>131</x:v>
      </x:c>
      <x:c r="B111" s="10" t="n">
        <x:v>46274.41693287037</x:v>
      </x:c>
      <x:c r="C111" s="2" t="str">
        <x:v>豆油</x:v>
      </x:c>
      <x:c r="D111" s="2" t="str">
        <x:v>苏冰</x:v>
      </x:c>
      <x:c r="E111" s="2" t="str">
        <x:v>15m</x:v>
      </x:c>
      <x:c r="F111" s="2" t="str">
        <x:v>逐条结果未留存</x:v>
      </x:c>
      <x:c r="G111" s="14" t="str">
        <x:v>【苏冰预警】豆油（Y）
合约：Y2701　周期：15m
空头预警：MACD 死叉，收盘价位于 EMA21 下方
Bar：2026-09-09T02:00:00+00:00
请打开图表复核；仅供研究观察，不是交易指令。</x:v>
      </x:c>
      <x:c r="H111" s="14" t="str">
        <x:v>本次未复算；前次：前次复算一致，本次未重算；原始逐条输入快照未存档</x:v>
      </x:c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</x:row>
    <x:row r="112" ht="102" customHeight="1">
      <x:c r="A112" s="2" t="n">
        <x:v>132</x:v>
      </x:c>
      <x:c r="B112" s="10" t="n">
        <x:v>46274.41699074074</x:v>
      </x:c>
      <x:c r="C112" s="2" t="str">
        <x:v>生猪</x:v>
      </x:c>
      <x:c r="D112" s="2" t="str">
        <x:v>苏冰</x:v>
      </x:c>
      <x:c r="E112" s="2" t="str">
        <x:v>15m</x:v>
      </x:c>
      <x:c r="F112" s="2" t="str">
        <x:v>逐条结果未留存</x:v>
      </x:c>
      <x:c r="G112" s="14" t="str">
        <x:v>【苏冰预警】生猪（LH）
合约：LH2611　周期：15m
空头预警：MACD 死叉，收盘价位于 EMA21 下方
Bar：2026-09-09T02:00:00+00:00
请打开图表复核；仅供研究观察，不是交易指令。</x:v>
      </x:c>
      <x:c r="H112" s="14" t="str">
        <x:v>本次未复算；前次：前次复算一致，本次未重算；原始逐条输入快照未存档</x:v>
      </x:c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</x:row>
    <x:row r="113" ht="102" customHeight="1">
      <x:c r="A113" s="2" t="n">
        <x:v>133</x:v>
      </x:c>
      <x:c r="B113" s="10" t="n">
        <x:v>46274.427141203705</x:v>
      </x:c>
      <x:c r="C113" s="2" t="str">
        <x:v>沥青</x:v>
      </x:c>
      <x:c r="D113" s="2" t="str">
        <x:v>苏冰</x:v>
      </x:c>
      <x:c r="E113" s="2" t="str">
        <x:v>15m</x:v>
      </x:c>
      <x:c r="F113" s="2" t="str">
        <x:v>逐条结果未留存</x:v>
      </x:c>
      <x:c r="G113" s="14" t="str">
        <x:v>【苏冰预警】沥青（BU）
合约：BU2610　周期：15m
多头预警：MACD 金叉，收盘价位于 EMA21 上方
Bar：2026-09-09T02:15:00+00:00
请打开图表复核；仅供研究观察，不是交易指令。</x:v>
      </x:c>
      <x:c r="H113" s="14" t="str">
        <x:v>本次未复算；前次：前次复算一致，本次未重算；原始逐条输入快照未存档</x:v>
      </x:c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</x:row>
    <x:row r="114" ht="102" customHeight="1">
      <x:c r="A114" s="2" t="n">
        <x:v>134</x:v>
      </x:c>
      <x:c r="B114" s="10" t="n">
        <x:v>46274.42717592593</x:v>
      </x:c>
      <x:c r="C114" s="2" t="str">
        <x:v>工业硅</x:v>
      </x:c>
      <x:c r="D114" s="2" t="str">
        <x:v>苏冰</x:v>
      </x:c>
      <x:c r="E114" s="2" t="str">
        <x:v>15m</x:v>
      </x:c>
      <x:c r="F114" s="2" t="str">
        <x:v>逐条结果未留存</x:v>
      </x:c>
      <x:c r="G114" s="14" t="str">
        <x:v>【苏冰预警】工业硅（SI）
合约：SI2611　周期：15m
空头预警：MACD 死叉，收盘价位于 EMA21 下方
Bar：2026-09-09T02:15:00+00:00
请打开图表复核；仅供研究观察，不是交易指令。</x:v>
      </x:c>
      <x:c r="H114" s="14" t="str">
        <x:v>本次未复算；前次：前次复算一致，本次未重算；原始逐条输入快照未存档</x:v>
      </x:c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</x:row>
    <x:row r="115" ht="102" customHeight="1">
      <x:c r="A115" s="2" t="n">
        <x:v>135</x:v>
      </x:c>
      <x:c r="B115" s="10" t="n">
        <x:v>46274.447962962964</x:v>
      </x:c>
      <x:c r="C115" s="2" t="str">
        <x:v>豆二</x:v>
      </x:c>
      <x:c r="D115" s="2" t="str">
        <x:v>苏冰</x:v>
      </x:c>
      <x:c r="E115" s="2" t="str">
        <x:v>15m</x:v>
      </x:c>
      <x:c r="F115" s="2" t="str">
        <x:v>逐条结果未留存</x:v>
      </x:c>
      <x:c r="G115" s="14" t="str">
        <x:v>【苏冰预警】豆二（B）
合约：B2611　周期：15m
多头预警：MACD 金叉，收盘价位于 EMA21 上方
Bar：2026-09-09T02:45:00+00:00
请打开图表复核；仅供研究观察，不是交易指令。</x:v>
      </x:c>
      <x:c r="H115" s="14" t="str">
        <x:v>本次未复算；前次：前次复算一致，本次未重算；原始逐条输入快照未存档</x:v>
      </x:c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</x:row>
    <x:row r="116" ht="102" customHeight="1">
      <x:c r="A116" s="2" t="n">
        <x:v>136</x:v>
      </x:c>
      <x:c r="B116" s="10" t="n">
        <x:v>46274.45837962963</x:v>
      </x:c>
      <x:c r="C116" s="2" t="str">
        <x:v>菜粕</x:v>
      </x:c>
      <x:c r="D116" s="2" t="str">
        <x:v>苏冰</x:v>
      </x:c>
      <x:c r="E116" s="2" t="str">
        <x:v>15m</x:v>
      </x:c>
      <x:c r="F116" s="2" t="str">
        <x:v>逐条结果未留存</x:v>
      </x:c>
      <x:c r="G116" s="14" t="str">
        <x:v>【苏冰预警】菜粕（RM）
合约：RM2611　周期：15m
多头预警：MACD 金叉，收盘价位于 EMA21 上方
Bar：2026-09-09T03:00:00+00:00
请打开图表复核；仅供研究观察，不是交易指令。</x:v>
      </x:c>
      <x:c r="H116" s="14" t="str">
        <x:v>本次未复算；前次：前次复算一致，本次未重算；原始逐条输入快照未存档</x:v>
      </x:c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</x:row>
    <x:row r="117" ht="102" customHeight="1">
      <x:c r="A117" s="2" t="n">
        <x:v>137</x:v>
      </x:c>
      <x:c r="B117" s="10" t="n">
        <x:v>46274.45842592593</x:v>
      </x:c>
      <x:c r="C117" s="2" t="str">
        <x:v>白银</x:v>
      </x:c>
      <x:c r="D117" s="2" t="str">
        <x:v>苏冰</x:v>
      </x:c>
      <x:c r="E117" s="2" t="str">
        <x:v>15m</x:v>
      </x:c>
      <x:c r="F117" s="2" t="str">
        <x:v>逐条结果未留存</x:v>
      </x:c>
      <x:c r="G117" s="14" t="str">
        <x:v>【苏冰预警】白银（AG）
合约：AG2610　周期：15m
多头预警：MACD 金叉，收盘价位于 EMA21 上方
Bar：2026-09-09T03:00:00+00:00
请打开图表复核；仅供研究观察，不是交易指令。</x:v>
      </x:c>
      <x:c r="H117" s="14" t="str">
        <x:v>本次未复算；前次：前次复算一致，本次未重算；原始逐条输入快照未存档</x:v>
      </x:c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</x:row>
    <x:row r="118" ht="102" customHeight="1">
      <x:c r="A118" s="2" t="n">
        <x:v>138</x:v>
      </x:c>
      <x:c r="B118" s="10" t="n">
        <x:v>46274.4584837963</x:v>
      </x:c>
      <x:c r="C118" s="2" t="str">
        <x:v>焦煤</x:v>
      </x:c>
      <x:c r="D118" s="2" t="str">
        <x:v>火天大有</x:v>
      </x:c>
      <x:c r="E118" s="2" t="str">
        <x:v>15m</x:v>
      </x:c>
      <x:c r="F118" s="2" t="str">
        <x:v>逐条结果未留存</x:v>
      </x:c>
      <x:c r="G118" s="14" t="str">
        <x:v>火天大有：焦煤（JM）
合约：JM2701　周期：15m
观察：买入观察
Bar：2026-09-09T03:00:00+00:00
仅供研究观察，不是交易指令。</x:v>
      </x:c>
      <x:c r="H118" s="14" t="str">
        <x:v>本次未复算；前次：公式复算数据不足；原始逐条输入快照未存档</x:v>
      </x:c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</x:row>
    <x:row r="119" ht="102" customHeight="1">
      <x:c r="A119" s="2" t="n">
        <x:v>139</x:v>
      </x:c>
      <x:c r="B119" s="10" t="n">
        <x:v>46274.45849537037</x:v>
      </x:c>
      <x:c r="C119" s="2" t="str">
        <x:v>豆粕</x:v>
      </x:c>
      <x:c r="D119" s="2" t="str">
        <x:v>苏冰</x:v>
      </x:c>
      <x:c r="E119" s="2" t="str">
        <x:v>15m</x:v>
      </x:c>
      <x:c r="F119" s="2" t="str">
        <x:v>逐条结果未留存</x:v>
      </x:c>
      <x:c r="G119" s="14" t="str">
        <x:v>【苏冰预警】豆粕（M）
合约：M2701　周期：15m
多头预警：MACD 金叉，收盘价位于 EMA21 上方
Bar：2026-09-09T03:00:00+00:00
请打开图表复核；仅供研究观察，不是交易指令。</x:v>
      </x:c>
      <x:c r="H119" s="14" t="str">
        <x:v>本次未复算；前次：前次复算一致，本次未重算；原始逐条输入快照未存档</x:v>
      </x:c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</x:row>
    <x:row r="120" ht="102" customHeight="1">
      <x:c r="A120" s="2" t="n">
        <x:v>140</x:v>
      </x:c>
      <x:c r="B120" s="10" t="n">
        <x:v>46274.468831018516</x:v>
      </x:c>
      <x:c r="C120" s="2" t="str">
        <x:v>乙二醇</x:v>
      </x:c>
      <x:c r="D120" s="2" t="str">
        <x:v>苏冰</x:v>
      </x:c>
      <x:c r="E120" s="2" t="str">
        <x:v>15m</x:v>
      </x:c>
      <x:c r="F120" s="2" t="str">
        <x:v>逐条结果未留存</x:v>
      </x:c>
      <x:c r="G120" s="14" t="str">
        <x:v>【苏冰预警】乙二醇（EG）
合约：EG2610　周期：15m
多头预警：MACD 金叉，收盘价位于 EMA21 上方
Bar：2026-09-09T03:15:00+00:00
请打开图表复核；仅供研究观察，不是交易指令。</x:v>
      </x:c>
      <x:c r="H120" s="14" t="str">
        <x:v>本次未复算；前次：前次复算一致，本次未重算；原始逐条输入快照未存档</x:v>
      </x:c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</x:row>
    <x:row r="121" ht="102" customHeight="1">
      <x:c r="A121" s="2" t="n">
        <x:v>141</x:v>
      </x:c>
      <x:c r="B121" s="10" t="n">
        <x:v>46274.46884259259</x:v>
      </x:c>
      <x:c r="C121" s="2" t="str">
        <x:v>碳酸锂</x:v>
      </x:c>
      <x:c r="D121" s="2" t="str">
        <x:v>苏冰</x:v>
      </x:c>
      <x:c r="E121" s="2" t="str">
        <x:v>15m</x:v>
      </x:c>
      <x:c r="F121" s="2" t="str">
        <x:v>逐条结果未留存</x:v>
      </x:c>
      <x:c r="G121" s="14" t="str">
        <x:v>【苏冰预警】碳酸锂（LC）
合约：LC2701　周期：15m
空头预警：MACD 死叉，收盘价位于 EMA21 下方
Bar：2026-09-09T03:15:00+00:00
请打开图表复核；仅供研究观察，不是交易指令。</x:v>
      </x:c>
      <x:c r="H121" s="14" t="str">
        <x:v>本次未复算；前次：前次复算一致，本次未重算；原始逐条输入快照未存档</x:v>
      </x:c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</x:row>
    <x:row r="122" ht="102" customHeight="1">
      <x:c r="A122" s="2" t="n">
        <x:v>142</x:v>
      </x:c>
      <x:c r="B122" s="10" t="n">
        <x:v>46274.57310185185</x:v>
      </x:c>
      <x:c r="C122" s="2" t="str">
        <x:v>焦煤</x:v>
      </x:c>
      <x:c r="D122" s="2" t="str">
        <x:v>火天大有</x:v>
      </x:c>
      <x:c r="E122" s="2" t="str">
        <x:v>5m</x:v>
      </x:c>
      <x:c r="F122" s="2" t="str">
        <x:v>逐条结果未留存</x:v>
      </x:c>
      <x:c r="G122" s="14" t="str">
        <x:v>火天大有：焦煤（JM）
合约：JM2701　周期：5m
观察：买入观察
Bar：2026-09-09T05:45:00+00:00
仅供研究观察，不是交易指令。</x:v>
      </x:c>
      <x:c r="H122" s="14" t="str">
        <x:v>本次未复算；前次：公式复算数据不足；原始逐条输入快照未存档</x:v>
      </x:c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</x:row>
    <x:row r="123" ht="102" customHeight="1">
      <x:c r="A123" s="2" t="n">
        <x:v>143</x:v>
      </x:c>
      <x:c r="B123" s="10" t="n">
        <x:v>46274.57314814815</x:v>
      </x:c>
      <x:c r="C123" s="2" t="str">
        <x:v>集运欧线</x:v>
      </x:c>
      <x:c r="D123" s="2" t="str">
        <x:v>苏冰</x:v>
      </x:c>
      <x:c r="E123" s="2" t="str">
        <x:v>15m</x:v>
      </x:c>
      <x:c r="F123" s="2" t="str">
        <x:v>逐条结果未留存</x:v>
      </x:c>
      <x:c r="G123" s="14" t="str">
        <x:v>【苏冰预警】集运欧线（EC）
合约：EC2610　周期：15m
空头预警：MACD 死叉，收盘价位于 EMA21 下方
Bar：2026-09-09T05:45:00+00:00
请打开图表复核；仅供研究观察，不是交易指令。</x:v>
      </x:c>
      <x:c r="H123" s="14" t="str">
        <x:v>本次未复算；前次：前次复算一致，本次未重算；原始逐条输入快照未存档</x:v>
      </x:c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</x:row>
    <x:row r="124" ht="102" customHeight="1">
      <x:c r="A124" s="2" t="n">
        <x:v>144</x:v>
      </x:c>
      <x:c r="B124" s="10" t="n">
        <x:v>46274.58341435185</x:v>
      </x:c>
      <x:c r="C124" s="2" t="str">
        <x:v>乙二醇</x:v>
      </x:c>
      <x:c r="D124" s="2" t="str">
        <x:v>苏冰</x:v>
      </x:c>
      <x:c r="E124" s="2" t="str">
        <x:v>15m</x:v>
      </x:c>
      <x:c r="F124" s="2" t="str">
        <x:v>逐条结果未留存</x:v>
      </x:c>
      <x:c r="G124" s="14" t="str">
        <x:v>【苏冰预警】乙二醇（EG）
合约：EG2610　周期：15m
空头预警：MACD 死叉，收盘价位于 EMA21 下方
Bar：2026-09-09T06:00:00+00:00
请打开图表复核；仅供研究观察，不是交易指令。</x:v>
      </x:c>
      <x:c r="H124" s="14" t="str">
        <x:v>本次未复算；前次：前次复算一致，本次未重算；原始逐条输入快照未存档</x:v>
      </x:c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</x:row>
    <x:row r="125" ht="102" customHeight="1">
      <x:c r="A125" s="2" t="n">
        <x:v>145</x:v>
      </x:c>
      <x:c r="B125" s="10" t="n">
        <x:v>46274.5834837963</x:v>
      </x:c>
      <x:c r="C125" s="2" t="str">
        <x:v>聚乙烯</x:v>
      </x:c>
      <x:c r="D125" s="2" t="str">
        <x:v>苏冰</x:v>
      </x:c>
      <x:c r="E125" s="2" t="str">
        <x:v>15m</x:v>
      </x:c>
      <x:c r="F125" s="2" t="str">
        <x:v>逐条结果未留存</x:v>
      </x:c>
      <x:c r="G125" s="14" t="str">
        <x:v>【苏冰预警】聚乙烯（L）
合约：L2701　周期：15m
空头预警：MACD 死叉，收盘价位于 EMA21 下方
Bar：2026-09-09T06:00:00+00:00
请打开图表复核；仅供研究观察，不是交易指令。</x:v>
      </x:c>
      <x:c r="H125" s="14" t="str">
        <x:v>本次未复算；前次：前次复算一致，本次未重算；原始逐条输入快照未存档</x:v>
      </x:c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</x:row>
    <x:row r="126" ht="102" customHeight="1">
      <x:c r="A126" s="2" t="n">
        <x:v>146</x:v>
      </x:c>
      <x:c r="B126" s="10" t="n">
        <x:v>46274.58351851852</x:v>
      </x:c>
      <x:c r="C126" s="2" t="str">
        <x:v>铂金</x:v>
      </x:c>
      <x:c r="D126" s="2" t="str">
        <x:v>苏冰</x:v>
      </x:c>
      <x:c r="E126" s="2" t="str">
        <x:v>15m</x:v>
      </x:c>
      <x:c r="F126" s="2" t="str">
        <x:v>owner收件确认（STATUS记录）</x:v>
      </x:c>
      <x:c r="G126" s="14" t="str">
        <x:v>【苏冰预警】铂金（PT）
合约：PT2610　周期：15m
多头预警：MACD 金叉，收盘价位于 EMA21 上方
Bar：2026-09-09T06:00:00+00:00
请打开图表复核；仅供研究观察，不是交易指令。</x:v>
      </x:c>
      <x:c r="H126" s="14" t="str">
        <x:v>本次未复算；前次：前次复算一致，本次未重算；原始逐条输入快照未存档</x:v>
      </x:c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</x:row>
    <x:row r="127" ht="102" customHeight="1">
      <x:c r="A127" s="2" t="n">
        <x:v>147</x:v>
      </x:c>
      <x:c r="B127" s="10" t="n">
        <x:v>46274.59384259259</x:v>
      </x:c>
      <x:c r="C127" s="2" t="str">
        <x:v>锌</x:v>
      </x:c>
      <x:c r="D127" s="2" t="str">
        <x:v>苏冰</x:v>
      </x:c>
      <x:c r="E127" s="2" t="str">
        <x:v>15m</x:v>
      </x:c>
      <x:c r="F127" s="2" t="str">
        <x:v>逐条结果未留存</x:v>
      </x:c>
      <x:c r="G127" s="14" t="str">
        <x:v>【苏冰预警】锌（ZN）
合约：ZN2610　周期：15m
多头预警：MACD 金叉，收盘价位于 EMA21 上方
Bar：2026-09-09T06:15:00+00:00
请打开图表复核；仅供研究观察，不是交易指令。</x:v>
      </x:c>
      <x:c r="H127" s="14" t="str">
        <x:v>本次未复算；前次：前次复算一致，本次未重算；原始逐条输入快照未存档</x:v>
      </x:c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</x:row>
    <x:row r="128" ht="102" customHeight="1">
      <x:c r="A128" s="2" t="n">
        <x:v>148</x:v>
      </x:c>
      <x:c r="B128" s="10" t="n">
        <x:v>46274.59384259259</x:v>
      </x:c>
      <x:c r="C128" s="2" t="str">
        <x:v>乙二醇</x:v>
      </x:c>
      <x:c r="D128" s="2" t="str">
        <x:v>苏冰</x:v>
      </x:c>
      <x:c r="E128" s="2" t="str">
        <x:v>15m</x:v>
      </x:c>
      <x:c r="F128" s="2" t="str">
        <x:v>逐条结果未留存</x:v>
      </x:c>
      <x:c r="G128" s="14" t="str">
        <x:v>【苏冰预警】乙二醇（EG）
合约：EG2610　周期：15m
多头预警：MACD 金叉，收盘价位于 EMA21 上方
Bar：2026-09-09T06:15:00+00:00
请打开图表复核；仅供研究观察，不是交易指令。</x:v>
      </x:c>
      <x:c r="H128" s="14" t="str">
        <x:v>本次未复算；前次：前次复算一致，本次未重算；原始逐条输入快照未存档</x:v>
      </x:c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</x:row>
    <x:row r="129" ht="102" customHeight="1">
      <x:c r="A129" s="2" t="n">
        <x:v>149</x:v>
      </x:c>
      <x:c r="B129" s="10" t="n">
        <x:v>46274.59385416667</x:v>
      </x:c>
      <x:c r="C129" s="2" t="str">
        <x:v>铁矿石</x:v>
      </x:c>
      <x:c r="D129" s="2" t="str">
        <x:v>苏冰</x:v>
      </x:c>
      <x:c r="E129" s="2" t="str">
        <x:v>15m</x:v>
      </x:c>
      <x:c r="F129" s="2" t="str">
        <x:v>逐条结果未留存</x:v>
      </x:c>
      <x:c r="G129" s="14" t="str">
        <x:v>【苏冰预警】铁矿石（I）
合约：I2701　周期：15m
多头预警：MACD 金叉，收盘价位于 EMA21 上方
Bar：2026-09-09T06:15:00+00:00
请打开图表复核；仅供研究观察，不是交易指令。</x:v>
      </x:c>
      <x:c r="H129" s="14" t="str">
        <x:v>本次未复算；前次：前次复算一致，本次未重算；原始逐条输入快照未存档</x:v>
      </x:c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</x:row>
    <x:row r="130" ht="102" customHeight="1">
      <x:c r="A130" s="2" t="n">
        <x:v>150</x:v>
      </x:c>
      <x:c r="B130" s="10" t="n">
        <x:v>46274.59385416667</x:v>
      </x:c>
      <x:c r="C130" s="2" t="str">
        <x:v>焦煤</x:v>
      </x:c>
      <x:c r="D130" s="2" t="str">
        <x:v>火天大有</x:v>
      </x:c>
      <x:c r="E130" s="2" t="str">
        <x:v>15m</x:v>
      </x:c>
      <x:c r="F130" s="2" t="str">
        <x:v>逐条结果未留存</x:v>
      </x:c>
      <x:c r="G130" s="14" t="str">
        <x:v>火天大有：焦煤（JM）
合约：JM2701　周期：15m
观察：买入观察
Bar：2026-09-09T06:15:00+00:00
仅供研究观察，不是交易指令。</x:v>
      </x:c>
      <x:c r="H130" s="14" t="str">
        <x:v>本次未复算；前次：公式复算数据不足；原始逐条输入快照未存档</x:v>
      </x:c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</x:row>
    <x:row r="131" ht="102" customHeight="1">
      <x:c r="A131" s="2" t="n">
        <x:v>151</x:v>
      </x:c>
      <x:c r="B131" s="10" t="n">
        <x:v>46274.604212962964</x:v>
      </x:c>
      <x:c r="C131" s="2" t="str">
        <x:v>棉花</x:v>
      </x:c>
      <x:c r="D131" s="2" t="str">
        <x:v>苏冰</x:v>
      </x:c>
      <x:c r="E131" s="2" t="str">
        <x:v>15m</x:v>
      </x:c>
      <x:c r="F131" s="2" t="str">
        <x:v>逐条结果未留存</x:v>
      </x:c>
      <x:c r="G131" s="14" t="str">
        <x:v>【苏冰预警】棉花（CF）
合约：CF2701　周期：15m
多头预警：MACD 金叉，收盘价位于 EMA21 上方
Bar：2026-09-09T06:30:00+00:00
请打开图表复核；仅供研究观察，不是交易指令。</x:v>
      </x:c>
      <x:c r="H131" s="14" t="str">
        <x:v>本次未复算；前次：前次复算一致，本次未重算；原始逐条输入快照未存档</x:v>
      </x:c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</x:row>
    <x:row r="132" ht="102" customHeight="1">
      <x:c r="A132" s="2" t="n">
        <x:v>152</x:v>
      </x:c>
      <x:c r="B132" s="10" t="n">
        <x:v>46274.60422453703</x:v>
      </x:c>
      <x:c r="C132" s="2" t="str">
        <x:v>短纤</x:v>
      </x:c>
      <x:c r="D132" s="2" t="str">
        <x:v>苏冰</x:v>
      </x:c>
      <x:c r="E132" s="2" t="str">
        <x:v>15m</x:v>
      </x:c>
      <x:c r="F132" s="2" t="str">
        <x:v>逐条结果未留存</x:v>
      </x:c>
      <x:c r="G132" s="14" t="str">
        <x:v>【苏冰预警】短纤（PF）
合约：PF2611　周期：15m
多头预警：MACD 金叉，收盘价位于 EMA21 上方
Bar：2026-09-09T06:30:00+00:00
请打开图表复核；仅供研究观察，不是交易指令。</x:v>
      </x:c>
      <x:c r="H132" s="14" t="str">
        <x:v>本次未复算；前次：前次复算一致，本次未重算；原始逐条输入快照未存档</x:v>
      </x:c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</x:row>
    <x:row r="133" ht="102" customHeight="1">
      <x:c r="A133" s="2" t="n">
        <x:v>153</x:v>
      </x:c>
      <x:c r="B133" s="10" t="n">
        <x:v>46274.60425925926</x:v>
      </x:c>
      <x:c r="C133" s="2" t="str">
        <x:v>热轧卷板</x:v>
      </x:c>
      <x:c r="D133" s="2" t="str">
        <x:v>苏冰</x:v>
      </x:c>
      <x:c r="E133" s="2" t="str">
        <x:v>15m</x:v>
      </x:c>
      <x:c r="F133" s="2" t="str">
        <x:v>逐条结果未留存</x:v>
      </x:c>
      <x:c r="G133" s="14" t="str">
        <x:v>【苏冰预警】热轧卷板（HC）
合约：HC2701　周期：15m
多头预警：MACD 金叉，收盘价位于 EMA21 上方
Bar：2026-09-09T06:30:00+00:00
请打开图表复核；仅供研究观察，不是交易指令。</x:v>
      </x:c>
      <x:c r="H133" s="14" t="str">
        <x:v>本次未复算；前次：前次复算一致，本次未重算；原始逐条输入快照未存档</x:v>
      </x:c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</x:row>
    <x:row r="134" ht="102" customHeight="1">
      <x:c r="A134" s="2" t="n">
        <x:v>154</x:v>
      </x:c>
      <x:c r="B134" s="10" t="n">
        <x:v>46274.60425925926</x:v>
      </x:c>
      <x:c r="C134" s="2" t="str">
        <x:v>镍</x:v>
      </x:c>
      <x:c r="D134" s="2" t="str">
        <x:v>苏冰</x:v>
      </x:c>
      <x:c r="E134" s="2" t="str">
        <x:v>15m</x:v>
      </x:c>
      <x:c r="F134" s="2" t="str">
        <x:v>逐条结果未留存</x:v>
      </x:c>
      <x:c r="G134" s="14" t="str">
        <x:v>【苏冰预警】镍（NI）
合约：NI2610　周期：15m
多头预警：MACD 金叉，收盘价位于 EMA21 上方
Bar：2026-09-09T06:30:00+00:00
请打开图表复核；仅供研究观察，不是交易指令。</x:v>
      </x:c>
      <x:c r="H134" s="14" t="str">
        <x:v>本次未复算；前次：前次复算一致，本次未重算；原始逐条输入快照未存档</x:v>
      </x:c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</x:row>
    <x:row r="135" ht="102" customHeight="1">
      <x:c r="A135" s="2" t="n">
        <x:v>155</x:v>
      </x:c>
      <x:c r="B135" s="10" t="n">
        <x:v>46274.60427083333</x:v>
      </x:c>
      <x:c r="C135" s="2" t="str">
        <x:v>螺纹钢</x:v>
      </x:c>
      <x:c r="D135" s="2" t="str">
        <x:v>苏冰</x:v>
      </x:c>
      <x:c r="E135" s="2" t="str">
        <x:v>15m</x:v>
      </x:c>
      <x:c r="F135" s="2" t="str">
        <x:v>逐条结果未留存</x:v>
      </x:c>
      <x:c r="G135" s="14" t="str">
        <x:v>【苏冰预警】螺纹钢（RB）
合约：RB2701　周期：15m
多头预警：MACD 金叉，收盘价位于 EMA21 上方
Bar：2026-09-09T06:30:00+00:00
请打开图表复核；仅供研究观察，不是交易指令。</x:v>
      </x:c>
      <x:c r="H135" s="14" t="str">
        <x:v>本次未复算；前次：前次复算一致，本次未重算；原始逐条输入快照未存档</x:v>
      </x:c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</x:row>
    <x:row r="136" ht="102" customHeight="1">
      <x:c r="A136" s="2" t="n">
        <x:v>156</x:v>
      </x:c>
      <x:c r="B136" s="10" t="n">
        <x:v>46274.60429398148</x:v>
      </x:c>
      <x:c r="C136" s="2" t="str">
        <x:v>聚乙烯</x:v>
      </x:c>
      <x:c r="D136" s="2" t="str">
        <x:v>苏冰</x:v>
      </x:c>
      <x:c r="E136" s="2" t="str">
        <x:v>15m</x:v>
      </x:c>
      <x:c r="F136" s="2" t="str">
        <x:v>逐条结果未留存</x:v>
      </x:c>
      <x:c r="G136" s="14" t="str">
        <x:v>【苏冰预警】聚乙烯（L）
合约：L2701　周期：15m
多头预警：MACD 金叉，收盘价位于 EMA21 上方
Bar：2026-09-09T06:30:00+00:00
请打开图表复核；仅供研究观察，不是交易指令。</x:v>
      </x:c>
      <x:c r="H136" s="14" t="str">
        <x:v>本次未复算；前次：前次复算一致，本次未重算；原始逐条输入快照未存档</x:v>
      </x:c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</x:row>
    <x:row r="137" ht="102" customHeight="1">
      <x:c r="A137" s="2" t="n">
        <x:v>157</x:v>
      </x:c>
      <x:c r="B137" s="10" t="n">
        <x:v>46274.60429398148</x:v>
      </x:c>
      <x:c r="C137" s="2" t="str">
        <x:v>液化石油气</x:v>
      </x:c>
      <x:c r="D137" s="2" t="str">
        <x:v>苏冰</x:v>
      </x:c>
      <x:c r="E137" s="2" t="str">
        <x:v>15m</x:v>
      </x:c>
      <x:c r="F137" s="2" t="str">
        <x:v>逐条结果未留存</x:v>
      </x:c>
      <x:c r="G137" s="14" t="str">
        <x:v>【苏冰预警】液化石油气（PG）
合约：PG2610　周期：15m
多头预警：MACD 金叉，收盘价位于 EMA21 上方
Bar：2026-09-09T06:30:00+00:00
请打开图表复核；仅供研究观察，不是交易指令。</x:v>
      </x:c>
      <x:c r="H137" s="14" t="str">
        <x:v>本次未复算；前次：前次复算一致，本次未重算；原始逐条输入快照未存档</x:v>
      </x:c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</x:row>
    <x:row r="138" ht="102" customHeight="1">
      <x:c r="A138" s="2" t="n">
        <x:v>158</x:v>
      </x:c>
      <x:c r="B138" s="10" t="n">
        <x:v>46274.61462962963</x:v>
      </x:c>
      <x:c r="C138" s="2" t="str">
        <x:v>玻璃</x:v>
      </x:c>
      <x:c r="D138" s="2" t="str">
        <x:v>苏冰</x:v>
      </x:c>
      <x:c r="E138" s="2" t="str">
        <x:v>15m</x:v>
      </x:c>
      <x:c r="F138" s="2" t="str">
        <x:v>逐条结果未留存</x:v>
      </x:c>
      <x:c r="G138" s="14" t="str">
        <x:v>【苏冰预警】玻璃（FG）
合约：FG2701　周期：15m
多头预警：MACD 金叉，收盘价位于 EMA21 上方
Bar：2026-09-09T06:45:00+00:00
请打开图表复核；仅供研究观察，不是交易指令。</x:v>
      </x:c>
      <x:c r="H138" s="14" t="str">
        <x:v>本次未复算；前次：前次复算一致，本次未重算；原始逐条输入快照未存档</x:v>
      </x:c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</x:row>
    <x:row r="139" ht="102" customHeight="1">
      <x:c r="A139" s="2" t="n">
        <x:v>159</x:v>
      </x:c>
      <x:c r="B139" s="10" t="n">
        <x:v>46274.614641203705</x:v>
      </x:c>
      <x:c r="C139" s="2" t="str">
        <x:v>丙烯</x:v>
      </x:c>
      <x:c r="D139" s="2" t="str">
        <x:v>苏冰</x:v>
      </x:c>
      <x:c r="E139" s="2" t="str">
        <x:v>15m</x:v>
      </x:c>
      <x:c r="F139" s="2" t="str">
        <x:v>逐条结果未留存</x:v>
      </x:c>
      <x:c r="G139" s="14" t="str">
        <x:v>【苏冰预警】丙烯（PR）
合约：PR2611　周期：15m
多头预警：MACD 金叉，收盘价位于 EMA21 上方
Bar：2026-09-09T06:45:00+00:00
请打开图表复核；仅供研究观察，不是交易指令。</x:v>
      </x:c>
      <x:c r="H139" s="14" t="str">
        <x:v>本次未复算；前次：前次复算一致，本次未重算；原始逐条输入快照未存档</x:v>
      </x:c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</x:row>
    <x:row r="140" ht="102" customHeight="1">
      <x:c r="A140" s="2" t="n">
        <x:v>160</x:v>
      </x:c>
      <x:c r="B140" s="10" t="n">
        <x:v>46274.614641203705</x:v>
      </x:c>
      <x:c r="C140" s="2" t="str">
        <x:v>纯碱</x:v>
      </x:c>
      <x:c r="D140" s="2" t="str">
        <x:v>苏冰</x:v>
      </x:c>
      <x:c r="E140" s="2" t="str">
        <x:v>15m</x:v>
      </x:c>
      <x:c r="F140" s="2" t="str">
        <x:v>逐条结果未留存</x:v>
      </x:c>
      <x:c r="G140" s="14" t="str">
        <x:v>【苏冰预警】纯碱（SA）
合约：SA2701　周期：15m
多头预警：MACD 金叉，收盘价位于 EMA21 上方
Bar：2026-09-09T06:45:00+00:00
请打开图表复核；仅供研究观察，不是交易指令。</x:v>
      </x:c>
      <x:c r="H140" s="14" t="str">
        <x:v>本次未复算；前次：前次复算一致，本次未重算；原始逐条输入快照未存档</x:v>
      </x:c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</x:row>
    <x:row r="141" ht="102" customHeight="1">
      <x:c r="A141" s="2" t="n">
        <x:v>161</x:v>
      </x:c>
      <x:c r="B141" s="10" t="n">
        <x:v>46274.614641203705</x:v>
      </x:c>
      <x:c r="C141" s="2" t="str">
        <x:v>pta</x:v>
      </x:c>
      <x:c r="D141" s="2" t="str">
        <x:v>苏冰</x:v>
      </x:c>
      <x:c r="E141" s="2" t="str">
        <x:v>15m</x:v>
      </x:c>
      <x:c r="F141" s="2" t="str">
        <x:v>逐条结果未留存</x:v>
      </x:c>
      <x:c r="G141" s="14" t="str">
        <x:v>【苏冰预警】pta（TA）
合约：TA2701　周期：15m
多头预警：MACD 金叉，收盘价位于 EMA21 上方
Bar：2026-09-09T06:45:00+00:00
请打开图表复核；仅供研究观察，不是交易指令。</x:v>
      </x:c>
      <x:c r="H141" s="14" t="str">
        <x:v>本次未复算；前次：前次复算一致，本次未重算；原始逐条输入快照未存档</x:v>
      </x:c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</x:row>
    <x:row r="142" ht="102" customHeight="1">
      <x:c r="A142" s="2" t="n">
        <x:v>162</x:v>
      </x:c>
      <x:c r="B142" s="10" t="n">
        <x:v>46274.61466435185</x:v>
      </x:c>
      <x:c r="C142" s="2" t="str">
        <x:v>燃料油</x:v>
      </x:c>
      <x:c r="D142" s="2" t="str">
        <x:v>苏冰</x:v>
      </x:c>
      <x:c r="E142" s="2" t="str">
        <x:v>15m</x:v>
      </x:c>
      <x:c r="F142" s="2" t="str">
        <x:v>逐条结果未留存</x:v>
      </x:c>
      <x:c r="G142" s="14" t="str">
        <x:v>【苏冰预警】燃料油（FU）
合约：FU2611　周期：15m
多头预警：MACD 金叉，收盘价位于 EMA21 上方
Bar：2026-09-09T06:45:00+00:00
请打开图表复核；仅供研究观察，不是交易指令。</x:v>
      </x:c>
      <x:c r="H142" s="14" t="str">
        <x:v>本次未复算；前次：前次复算一致，本次未重算；原始逐条输入快照未存档</x:v>
      </x:c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</x:row>
    <x:row r="143" ht="102" customHeight="1">
      <x:c r="A143" s="2" t="n">
        <x:v>163</x:v>
      </x:c>
      <x:c r="B143" s="10" t="n">
        <x:v>46274.61467592593</x:v>
      </x:c>
      <x:c r="C143" s="2" t="str">
        <x:v>天然橡胶</x:v>
      </x:c>
      <x:c r="D143" s="2" t="str">
        <x:v>苏冰</x:v>
      </x:c>
      <x:c r="E143" s="2" t="str">
        <x:v>15m</x:v>
      </x:c>
      <x:c r="F143" s="2" t="str">
        <x:v>逐条结果未留存</x:v>
      </x:c>
      <x:c r="G143" s="14" t="str">
        <x:v>【苏冰预警】天然橡胶（RU）
合约：RU2701　周期：15m
多头预警：MACD 金叉，收盘价位于 EMA21 上方
Bar：2026-09-09T06:45:00+00:00
请打开图表复核；仅供研究观察，不是交易指令。</x:v>
      </x:c>
      <x:c r="H143" s="14" t="str">
        <x:v>本次未复算；前次：前次复算一致，本次未重算；原始逐条输入快照未存档</x:v>
      </x:c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</x:row>
    <x:row r="144" ht="102" customHeight="1">
      <x:c r="A144" s="2" t="n">
        <x:v>164</x:v>
      </x:c>
      <x:c r="B144" s="10" t="n">
        <x:v>46274.6146875</x:v>
      </x:c>
      <x:c r="C144" s="2" t="str">
        <x:v>pvc</x:v>
      </x:c>
      <x:c r="D144" s="2" t="str">
        <x:v>苏冰</x:v>
      </x:c>
      <x:c r="E144" s="2" t="str">
        <x:v>15m</x:v>
      </x:c>
      <x:c r="F144" s="2" t="str">
        <x:v>transport_failed</x:v>
      </x:c>
      <x:c r="G144" s="14" t="str">
        <x:v>【苏冰预警】pvc（V）
合约：V2701　周期：15m
多头预警：MACD 金叉，收盘价位于 EMA21 上方
Bar：2026-09-09T06:45:00+00:00
请打开图表复核；仅供研究观察，不是交易指令。</x:v>
      </x:c>
      <x:c r="H144" s="14" t="str">
        <x:v>本次未复算；前次：前次复算一致，本次未重算；原始逐条输入快照未存档</x:v>
      </x:c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</x:row>
    <x:row r="145" ht="102" customHeight="1">
      <x:c r="A145" s="2" t="n">
        <x:v>165</x:v>
      </x:c>
      <x:c r="B145" s="10" t="n">
        <x:v>46274.62505787037</x:v>
      </x:c>
      <x:c r="C145" s="2" t="str">
        <x:v>豆一</x:v>
      </x:c>
      <x:c r="D145" s="2" t="str">
        <x:v>苏冰</x:v>
      </x:c>
      <x:c r="E145" s="2" t="str">
        <x:v>15m</x:v>
      </x:c>
      <x:c r="F145" s="2" t="str">
        <x:v>逐条结果未留存</x:v>
      </x:c>
      <x:c r="G145" s="14" t="str">
        <x:v>【苏冰预警】豆一（A）
合约：A2611　周期：15m
多头预警：MACD 金叉，收盘价位于 EMA21 上方
Bar：2026-09-09T07:00:00+00:00
请打开图表复核；仅供研究观察，不是交易指令。</x:v>
      </x:c>
      <x:c r="H145" s="14" t="str">
        <x:v>本次未复算；前次：前次复算一致，本次未重算；原始逐条输入快照未存档</x:v>
      </x:c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</x:row>
    <x:row r="146" ht="102" customHeight="1">
      <x:c r="A146" s="2" t="n">
        <x:v>166</x:v>
      </x:c>
      <x:c r="B146" s="10" t="n">
        <x:v>46274.625127314815</x:v>
      </x:c>
      <x:c r="C146" s="2" t="str">
        <x:v>铜</x:v>
      </x:c>
      <x:c r="D146" s="2" t="str">
        <x:v>苏冰</x:v>
      </x:c>
      <x:c r="E146" s="2" t="str">
        <x:v>15m</x:v>
      </x:c>
      <x:c r="F146" s="2" t="str">
        <x:v>逐条结果未留存</x:v>
      </x:c>
      <x:c r="G146" s="14" t="str">
        <x:v>【苏冰预警】铜（CU）
合约：CU2610　周期：15m
多头预警：MACD 金叉，收盘价位于 EMA21 上方
Bar：2026-09-09T07:00:00+00:00
请打开图表复核；仅供研究观察，不是交易指令。</x:v>
      </x:c>
      <x:c r="H146" s="14" t="str">
        <x:v>本次未复算；前次：前次复算一致，本次未重算；原始逐条输入快照未存档</x:v>
      </x:c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</x:row>
    <x:row r="147" ht="102" customHeight="1">
      <x:c r="A147" s="2" t="n">
        <x:v>167</x:v>
      </x:c>
      <x:c r="B147" s="10" t="n">
        <x:v>46274.625185185185</x:v>
      </x:c>
      <x:c r="C147" s="2" t="str">
        <x:v>红枣</x:v>
      </x:c>
      <x:c r="D147" s="2" t="str">
        <x:v>苏冰</x:v>
      </x:c>
      <x:c r="E147" s="2" t="str">
        <x:v>15m</x:v>
      </x:c>
      <x:c r="F147" s="2" t="str">
        <x:v>provider_accepted</x:v>
      </x:c>
      <x:c r="G147" s="14" t="str">
        <x:v>【苏冰预警】红枣（CJ）
合约：CJ2701　周期：15m
多头预警：MACD 金叉，收盘价位于 EMA21 上方
Bar：2026-09-09T07:00:00+00:00
请打开图表复核；仅供研究观察，不是交易指令。</x:v>
      </x:c>
      <x:c r="H147" s="14" t="str">
        <x:v>本次未复算；前次：前次复算一致，本次未重算；原始逐条输入快照未存档</x:v>
      </x:c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</x:row>
    <x:row r="148" ht="102" customHeight="1">
      <x:c r="A148" s="2" t="n">
        <x:v>168</x:v>
      </x:c>
      <x:c r="B148" s="10" t="n">
        <x:v>46274.88545138889</x:v>
      </x:c>
      <x:c r="C148" s="2" t="str">
        <x:v>玻璃</x:v>
      </x:c>
      <x:c r="D148" s="2" t="str">
        <x:v>苏冰</x:v>
      </x:c>
      <x:c r="E148" s="2" t="str">
        <x:v>15m</x:v>
      </x:c>
      <x:c r="F148" s="2" t="str">
        <x:v>逐条结果未留存</x:v>
      </x:c>
      <x:c r="G148" s="14" t="str">
        <x:v>【苏冰预警】玻璃（FG）
合约：FG2701　周期：15m
空头预警：MACD 死叉，收盘价位于 EMA21 下方
Bar：2026-09-09T13:15:00+00:00
请打开图表复核；仅供研究观察，不是交易指令。</x:v>
      </x:c>
      <x:c r="H148" s="14" t="str">
        <x:v>本次未复算；前次：公式复算数据不足；原始逐条输入快照未存档</x:v>
      </x:c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</x:row>
    <x:row r="149" ht="102" customHeight="1">
      <x:c r="A149" s="2" t="n">
        <x:v>169</x:v>
      </x:c>
      <x:c r="B149" s="10" t="n">
        <x:v>46274.88545138889</x:v>
      </x:c>
      <x:c r="C149" s="2" t="str">
        <x:v>对二甲苯</x:v>
      </x:c>
      <x:c r="D149" s="2" t="str">
        <x:v>苏冰</x:v>
      </x:c>
      <x:c r="E149" s="2" t="str">
        <x:v>15m</x:v>
      </x:c>
      <x:c r="F149" s="2" t="str">
        <x:v>逐条结果未留存</x:v>
      </x:c>
      <x:c r="G149" s="14" t="str">
        <x:v>【苏冰预警】对二甲苯（PX）
合约：PX2611　周期：15m
多头预警：MACD 金叉，收盘价位于 EMA21 上方
Bar：2026-09-09T13:15:00+00:00
请打开图表复核；仅供研究观察，不是交易指令。</x:v>
      </x:c>
      <x:c r="H149" s="14" t="str">
        <x:v>本次未复算；前次：公式复算数据不足；原始逐条输入快照未存档</x:v>
      </x:c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</x:row>
    <x:row r="150" ht="102" customHeight="1">
      <x:c r="A150" s="2" t="n">
        <x:v>170</x:v>
      </x:c>
      <x:c r="B150" s="10" t="n">
        <x:v>46274.885462962964</x:v>
      </x:c>
      <x:c r="C150" s="2" t="str">
        <x:v>pta</x:v>
      </x:c>
      <x:c r="D150" s="2" t="str">
        <x:v>苏冰</x:v>
      </x:c>
      <x:c r="E150" s="2" t="str">
        <x:v>15m</x:v>
      </x:c>
      <x:c r="F150" s="2" t="str">
        <x:v>逐条结果未留存</x:v>
      </x:c>
      <x:c r="G150" s="14" t="str">
        <x:v>【苏冰预警】pta（TA）
合约：TA2701　周期：15m
多头预警：MACD 金叉，收盘价位于 EMA21 上方
Bar：2026-09-09T13:15:00+00:00
请打开图表复核；仅供研究观察，不是交易指令。</x:v>
      </x:c>
      <x:c r="H150" s="14" t="str">
        <x:v>本次未复算；前次：公式复算数据不足；原始逐条输入快照未存档</x:v>
      </x:c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</x:row>
    <x:row r="151" ht="102" customHeight="1">
      <x:c r="A151" s="2" t="n">
        <x:v>171</x:v>
      </x:c>
      <x:c r="B151" s="10" t="n">
        <x:v>46274.88548611111</x:v>
      </x:c>
      <x:c r="C151" s="2" t="str">
        <x:v>热轧卷板</x:v>
      </x:c>
      <x:c r="D151" s="2" t="str">
        <x:v>苏冰</x:v>
      </x:c>
      <x:c r="E151" s="2" t="str">
        <x:v>15m</x:v>
      </x:c>
      <x:c r="F151" s="2" t="str">
        <x:v>逐条结果未留存</x:v>
      </x:c>
      <x:c r="G151" s="14" t="str">
        <x:v>【苏冰预警】热轧卷板（HC）
合约：HC2701　周期：15m
空头预警：MACD 死叉，收盘价位于 EMA21 下方
Bar：2026-09-09T13:15:00+00:00
请打开图表复核；仅供研究观察，不是交易指令。</x:v>
      </x:c>
      <x:c r="H151" s="14" t="str">
        <x:v>本次未复算；前次：公式复算数据不足；原始逐条输入快照未存档</x:v>
      </x:c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</x:row>
    <x:row r="152" ht="102" customHeight="1">
      <x:c r="A152" s="2" t="n">
        <x:v>172</x:v>
      </x:c>
      <x:c r="B152" s="10" t="n">
        <x:v>46274.88548611111</x:v>
      </x:c>
      <x:c r="C152" s="2" t="str">
        <x:v>螺纹钢</x:v>
      </x:c>
      <x:c r="D152" s="2" t="str">
        <x:v>苏冰</x:v>
      </x:c>
      <x:c r="E152" s="2" t="str">
        <x:v>15m</x:v>
      </x:c>
      <x:c r="F152" s="2" t="str">
        <x:v>逐条结果未留存</x:v>
      </x:c>
      <x:c r="G152" s="14" t="str">
        <x:v>【苏冰预警】螺纹钢（RB）
合约：RB2701　周期：15m
空头预警：MACD 死叉，收盘价位于 EMA21 下方
Bar：2026-09-09T13:15:00+00:00
请打开图表复核；仅供研究观察，不是交易指令。</x:v>
      </x:c>
      <x:c r="H152" s="14" t="str">
        <x:v>本次未复算；前次：公式复算数据不足；原始逐条输入快照未存档</x:v>
      </x:c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</x:row>
    <x:row r="153" ht="102" customHeight="1">
      <x:c r="A153" s="2" t="n">
        <x:v>173</x:v>
      </x:c>
      <x:c r="B153" s="10" t="n">
        <x:v>46274.88549768519</x:v>
      </x:c>
      <x:c r="C153" s="2" t="str">
        <x:v>铁矿石</x:v>
      </x:c>
      <x:c r="D153" s="2" t="str">
        <x:v>苏冰</x:v>
      </x:c>
      <x:c r="E153" s="2" t="str">
        <x:v>15m</x:v>
      </x:c>
      <x:c r="F153" s="2" t="str">
        <x:v>逐条结果未留存</x:v>
      </x:c>
      <x:c r="G153" s="14" t="str">
        <x:v>【苏冰预警】铁矿石（I）
合约：I2701　周期：15m
空头预警：MACD 死叉，收盘价位于 EMA21 下方
Bar：2026-09-09T13:15:00+00:00
请打开图表复核；仅供研究观察，不是交易指令。</x:v>
      </x:c>
      <x:c r="H153" s="14" t="str">
        <x:v>本次未复算；前次：公式复算数据不足；原始逐条输入快照未存档</x:v>
      </x:c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</x:row>
    <x:row r="154" ht="102" customHeight="1">
      <x:c r="A154" s="2" t="n">
        <x:v>174</x:v>
      </x:c>
      <x:c r="B154" s="10" t="n">
        <x:v>46274.88549768519</x:v>
      </x:c>
      <x:c r="C154" s="2" t="str">
        <x:v>焦煤</x:v>
      </x:c>
      <x:c r="D154" s="2" t="str">
        <x:v>火天大有</x:v>
      </x:c>
      <x:c r="E154" s="2" t="str">
        <x:v>5m</x:v>
      </x:c>
      <x:c r="F154" s="2" t="str">
        <x:v>逐条结果未留存</x:v>
      </x:c>
      <x:c r="G154" s="14" t="str">
        <x:v>火天大有：焦煤（JM）
合约：JM2701　周期：5m
观察：买入观察
Bar：2026-09-09T13:15:00+00:00
仅供研究观察，不是交易指令。</x:v>
      </x:c>
      <x:c r="H154" s="14" t="str">
        <x:v>本次未复算；前次：公式复算数据不足；原始逐条输入快照未存档</x:v>
      </x:c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</x:row>
    <x:row r="155" ht="102" customHeight="1">
      <x:c r="A155" s="2" t="n">
        <x:v>175</x:v>
      </x:c>
      <x:c r="B155" s="10" t="n">
        <x:v>46274.88550925926</x:v>
      </x:c>
      <x:c r="C155" s="2" t="str">
        <x:v>聚丙烯</x:v>
      </x:c>
      <x:c r="D155" s="2" t="str">
        <x:v>苏冰</x:v>
      </x:c>
      <x:c r="E155" s="2" t="str">
        <x:v>15m</x:v>
      </x:c>
      <x:c r="F155" s="2" t="str">
        <x:v>逐条结果未留存</x:v>
      </x:c>
      <x:c r="G155" s="14" t="str">
        <x:v>【苏冰预警】聚丙烯（PP）
合约：PP2701　周期：15m
多头预警：MACD 金叉，收盘价位于 EMA21 上方
Bar：2026-09-09T13:15:00+00:00
请打开图表复核；仅供研究观察，不是交易指令。</x:v>
      </x:c>
      <x:c r="H155" s="14" t="str">
        <x:v>本次未复算；前次：公式复算数据不足；原始逐条输入快照未存档</x:v>
      </x:c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</x:row>
    <x:row r="156" ht="102" customHeight="1">
      <x:c r="A156" s="2" t="n">
        <x:v>176</x:v>
      </x:c>
      <x:c r="B156" s="10" t="n">
        <x:v>46274.88550925926</x:v>
      </x:c>
      <x:c r="C156" s="2" t="str">
        <x:v>pvc</x:v>
      </x:c>
      <x:c r="D156" s="2" t="str">
        <x:v>苏冰</x:v>
      </x:c>
      <x:c r="E156" s="2" t="str">
        <x:v>15m</x:v>
      </x:c>
      <x:c r="F156" s="2" t="str">
        <x:v>逐条结果未留存</x:v>
      </x:c>
      <x:c r="G156" s="14" t="str">
        <x:v>【苏冰预警】pvc（V）
合约：V2701　周期：15m
空头预警：MACD 死叉，收盘价位于 EMA21 下方
Bar：2026-09-09T13:15:00+00:00
请打开图表复核；仅供研究观察，不是交易指令。</x:v>
      </x:c>
      <x:c r="H156" s="14" t="str">
        <x:v>本次未复算；前次：公式复算数据不足；原始逐条输入快照未存档</x:v>
      </x:c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</x:row>
    <x:row r="157" ht="102" customHeight="1">
      <x:c r="A157" s="2" t="n">
        <x:v>177</x:v>
      </x:c>
      <x:c r="B157" s="10" t="n">
        <x:v>46274.89591435185</x:v>
      </x:c>
      <x:c r="C157" s="2" t="str">
        <x:v>瓶片</x:v>
      </x:c>
      <x:c r="D157" s="2" t="str">
        <x:v>苏冰</x:v>
      </x:c>
      <x:c r="E157" s="2" t="str">
        <x:v>15m</x:v>
      </x:c>
      <x:c r="F157" s="2" t="str">
        <x:v>逐条结果未留存</x:v>
      </x:c>
      <x:c r="G157" s="14" t="str">
        <x:v>【苏冰预警】瓶片（PL）
合约：PL2611　周期：15m
多头预警：MACD 金叉，收盘价位于 EMA21 上方
Bar：2026-09-09T13:30:00+00:00
请打开图表复核；仅供研究观察，不是交易指令。</x:v>
      </x:c>
      <x:c r="H157" s="14" t="str">
        <x:v>本次未复算；前次：公式复算数据不足；原始逐条输入快照未存档</x:v>
      </x:c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</x:row>
    <x:row r="158" ht="102" customHeight="1">
      <x:c r="A158" s="2" t="n">
        <x:v>178</x:v>
      </x:c>
      <x:c r="B158" s="10" t="n">
        <x:v>46274.895949074074</x:v>
      </x:c>
      <x:c r="C158" s="2" t="str">
        <x:v>铝</x:v>
      </x:c>
      <x:c r="D158" s="2" t="str">
        <x:v>苏冰</x:v>
      </x:c>
      <x:c r="E158" s="2" t="str">
        <x:v>15m</x:v>
      </x:c>
      <x:c r="F158" s="2" t="str">
        <x:v>逐条结果未留存</x:v>
      </x:c>
      <x:c r="G158" s="14" t="str">
        <x:v>【苏冰预警】铝（AL）
合约：AL2610　周期：15m
多头预警：MACD 金叉，收盘价位于 EMA21 上方
Bar：2026-09-09T13:30:00+00:00
请打开图表复核；仅供研究观察，不是交易指令。</x:v>
      </x:c>
      <x:c r="H158" s="14" t="str">
        <x:v>本次未复算；前次：公式复算数据不足；原始逐条输入快照未存档</x:v>
      </x:c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</x:row>
    <x:row r="159" ht="102" customHeight="1">
      <x:c r="A159" s="2" t="n">
        <x:v>179</x:v>
      </x:c>
      <x:c r="B159" s="10" t="n">
        <x:v>46274.8959837963</x:v>
      </x:c>
      <x:c r="C159" s="2" t="str">
        <x:v>玉米</x:v>
      </x:c>
      <x:c r="D159" s="2" t="str">
        <x:v>苏冰</x:v>
      </x:c>
      <x:c r="E159" s="2" t="str">
        <x:v>15m</x:v>
      </x:c>
      <x:c r="F159" s="2" t="str">
        <x:v>逐条结果未留存</x:v>
      </x:c>
      <x:c r="G159" s="14" t="str">
        <x:v>【苏冰预警】玉米（C）
合约：C2611　周期：15m
空头预警：MACD 死叉，收盘价位于 EMA21 下方
Bar：2026-09-09T13:30:00+00:00
请打开图表复核；仅供研究观察，不是交易指令。</x:v>
      </x:c>
      <x:c r="H159" s="14" t="str">
        <x:v>本次未复算；前次：公式复算数据不足；原始逐条输入快照未存档</x:v>
      </x:c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</x:row>
    <x:row r="160" ht="102" customHeight="1">
      <x:c r="A160" s="2" t="n">
        <x:v>180</x:v>
      </x:c>
      <x:c r="B160" s="10" t="n">
        <x:v>46274.90628472222</x:v>
      </x:c>
      <x:c r="C160" s="2" t="str">
        <x:v>棉花</x:v>
      </x:c>
      <x:c r="D160" s="2" t="str">
        <x:v>苏冰</x:v>
      </x:c>
      <x:c r="E160" s="2" t="str">
        <x:v>15m</x:v>
      </x:c>
      <x:c r="F160" s="2" t="str">
        <x:v>逐条结果未留存</x:v>
      </x:c>
      <x:c r="G160" s="14" t="str">
        <x:v>【苏冰预警】棉花（CF）
合约：CF2701　周期：15m
空头预警：MACD 死叉，收盘价位于 EMA21 下方
Bar：2026-09-09T13:45:00+00:00
请打开图表复核；仅供研究观察，不是交易指令。</x:v>
      </x:c>
      <x:c r="H160" s="14" t="str">
        <x:v>本次未复算；前次：公式复算数据不足；原始逐条输入快照未存档</x:v>
      </x:c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</x:row>
    <x:row r="161" ht="102" customHeight="1">
      <x:c r="A161" s="2" t="n">
        <x:v>181</x:v>
      </x:c>
      <x:c r="B161" s="10" t="n">
        <x:v>46274.9062962963</x:v>
      </x:c>
      <x:c r="C161" s="2" t="str">
        <x:v>纯碱</x:v>
      </x:c>
      <x:c r="D161" s="2" t="str">
        <x:v>苏冰</x:v>
      </x:c>
      <x:c r="E161" s="2" t="str">
        <x:v>15m</x:v>
      </x:c>
      <x:c r="F161" s="2" t="str">
        <x:v>逐条结果未留存</x:v>
      </x:c>
      <x:c r="G161" s="14" t="str">
        <x:v>【苏冰预警】纯碱（SA）
合约：SA2701　周期：15m
空头预警：MACD 死叉，收盘价位于 EMA21 下方
Bar：2026-09-09T13:45:00+00:00
请打开图表复核；仅供研究观察，不是交易指令。</x:v>
      </x:c>
      <x:c r="H161" s="14" t="str">
        <x:v>本次未复算；前次：公式复算数据不足；原始逐条输入快照未存档</x:v>
      </x:c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</x:row>
    <x:row r="162" ht="102" customHeight="1">
      <x:c r="A162" s="2" t="n">
        <x:v>182</x:v>
      </x:c>
      <x:c r="B162" s="10" t="n">
        <x:v>46274.90634259259</x:v>
      </x:c>
      <x:c r="C162" s="2" t="str">
        <x:v>棕榈油</x:v>
      </x:c>
      <x:c r="D162" s="2" t="str">
        <x:v>苏冰</x:v>
      </x:c>
      <x:c r="E162" s="2" t="str">
        <x:v>15m</x:v>
      </x:c>
      <x:c r="F162" s="2" t="str">
        <x:v>逐条结果未留存</x:v>
      </x:c>
      <x:c r="G162" s="14" t="str">
        <x:v>【苏冰预警】棕榈油（P）
合约：P2701　周期：15m
空头预警：MACD 死叉，收盘价位于 EMA21 下方
Bar：2026-09-09T13:45:00+00:00
请打开图表复核；仅供研究观察，不是交易指令。</x:v>
      </x:c>
      <x:c r="H162" s="14" t="str">
        <x:v>本次未复算；前次：公式复算数据不足；原始逐条输入快照未存档</x:v>
      </x:c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</x:row>
    <x:row r="163" ht="102" customHeight="1">
      <x:c r="A163" s="2" t="n">
        <x:v>183</x:v>
      </x:c>
      <x:c r="B163" s="10" t="n">
        <x:v>46274.91670138889</x:v>
      </x:c>
      <x:c r="C163" s="2" t="str">
        <x:v>菜粕</x:v>
      </x:c>
      <x:c r="D163" s="2" t="str">
        <x:v>苏冰</x:v>
      </x:c>
      <x:c r="E163" s="2" t="str">
        <x:v>15m</x:v>
      </x:c>
      <x:c r="F163" s="2" t="str">
        <x:v>逐条结果未留存</x:v>
      </x:c>
      <x:c r="G163" s="14" t="str">
        <x:v>【苏冰预警】菜粕（RM）
合约：RM2611　周期：15m
空头预警：MACD 死叉，收盘价位于 EMA21 下方
Bar：2026-09-09T14:00:00+00:00
请打开图表复核；仅供研究观察，不是交易指令。</x:v>
      </x:c>
      <x:c r="H163" s="14" t="str">
        <x:v>本次未复算；前次：公式复算数据不足；原始逐条输入快照未存档</x:v>
      </x:c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</x:row>
    <x:row r="164" ht="102" customHeight="1">
      <x:c r="A164" s="2" t="n">
        <x:v>184</x:v>
      </x:c>
      <x:c r="B164" s="10" t="n">
        <x:v>46274.91675925926</x:v>
      </x:c>
      <x:c r="C164" s="2" t="str">
        <x:v>豆一</x:v>
      </x:c>
      <x:c r="D164" s="2" t="str">
        <x:v>苏冰</x:v>
      </x:c>
      <x:c r="E164" s="2" t="str">
        <x:v>15m</x:v>
      </x:c>
      <x:c r="F164" s="2" t="str">
        <x:v>逐条结果未留存</x:v>
      </x:c>
      <x:c r="G164" s="14" t="str">
        <x:v>【苏冰预警】豆一（A）
合约：A2611　周期：15m
空头预警：MACD 死叉，收盘价位于 EMA21 下方
Bar：2026-09-09T14:00:00+00:00
请打开图表复核；仅供研究观察，不是交易指令。</x:v>
      </x:c>
      <x:c r="H164" s="14" t="str">
        <x:v>本次未复算；前次：公式复算数据不足；原始逐条输入快照未存档</x:v>
      </x:c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</x:row>
    <x:row r="165" ht="102" customHeight="1">
      <x:c r="A165" s="2" t="n">
        <x:v>185</x:v>
      </x:c>
      <x:c r="B165" s="10" t="n">
        <x:v>46274.91677083333</x:v>
      </x:c>
      <x:c r="C165" s="2" t="str">
        <x:v>豆二</x:v>
      </x:c>
      <x:c r="D165" s="2" t="str">
        <x:v>苏冰</x:v>
      </x:c>
      <x:c r="E165" s="2" t="str">
        <x:v>15m</x:v>
      </x:c>
      <x:c r="F165" s="2" t="str">
        <x:v>逐条结果未留存</x:v>
      </x:c>
      <x:c r="G165" s="14" t="str">
        <x:v>【苏冰预警】豆二（B）
合约：B2611　周期：15m
空头预警：MACD 死叉，收盘价位于 EMA21 下方
Bar：2026-09-09T14:00:00+00:00
请打开图表复核；仅供研究观察，不是交易指令。</x:v>
      </x:c>
      <x:c r="H165" s="14" t="str">
        <x:v>本次未复算；前次：公式复算数据不足；原始逐条输入快照未存档</x:v>
      </x:c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</x:row>
    <x:row r="166" ht="102" customHeight="1">
      <x:c r="A166" s="2" t="n">
        <x:v>186</x:v>
      </x:c>
      <x:c r="B166" s="10" t="n">
        <x:v>46274.91677083333</x:v>
      </x:c>
      <x:c r="C166" s="2" t="str">
        <x:v>铝</x:v>
      </x:c>
      <x:c r="D166" s="2" t="str">
        <x:v>苏冰</x:v>
      </x:c>
      <x:c r="E166" s="2" t="str">
        <x:v>15m</x:v>
      </x:c>
      <x:c r="F166" s="2" t="str">
        <x:v>逐条结果未留存</x:v>
      </x:c>
      <x:c r="G166" s="14" t="str">
        <x:v>【苏冰预警】铝（AL）
合约：AL2610　周期：15m
空头预警：MACD 死叉，收盘价位于 EMA21 下方
Bar：2026-09-09T14:00:00+00:00
请打开图表复核；仅供研究观察，不是交易指令。</x:v>
      </x:c>
      <x:c r="H166" s="14" t="str">
        <x:v>本次未复算；前次：公式复算数据不足；原始逐条输入快照未存档</x:v>
      </x:c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</x:row>
    <x:row r="167" ht="102" customHeight="1">
      <x:c r="A167" s="2" t="n">
        <x:v>187</x:v>
      </x:c>
      <x:c r="B167" s="10" t="n">
        <x:v>46274.91679398148</x:v>
      </x:c>
      <x:c r="C167" s="2" t="str">
        <x:v>天然橡胶</x:v>
      </x:c>
      <x:c r="D167" s="2" t="str">
        <x:v>苏冰</x:v>
      </x:c>
      <x:c r="E167" s="2" t="str">
        <x:v>15m</x:v>
      </x:c>
      <x:c r="F167" s="2" t="str">
        <x:v>逐条结果未留存</x:v>
      </x:c>
      <x:c r="G167" s="14" t="str">
        <x:v>【苏冰预警】天然橡胶（RU）
合约：RU2701　周期：15m
空头预警：MACD 死叉，收盘价位于 EMA21 下方
Bar：2026-09-09T14:00:00+00:00
请打开图表复核；仅供研究观察，不是交易指令。</x:v>
      </x:c>
      <x:c r="H167" s="14" t="str">
        <x:v>本次未复算；前次：公式复算数据不足；原始逐条输入快照未存档</x:v>
      </x:c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</x:row>
    <x:row r="168" ht="102" customHeight="1">
      <x:c r="A168" s="2" t="n">
        <x:v>188</x:v>
      </x:c>
      <x:c r="B168" s="10" t="n">
        <x:v>46274.916817129626</x:v>
      </x:c>
      <x:c r="C168" s="2" t="str">
        <x:v>豆油</x:v>
      </x:c>
      <x:c r="D168" s="2" t="str">
        <x:v>苏冰</x:v>
      </x:c>
      <x:c r="E168" s="2" t="str">
        <x:v>15m</x:v>
      </x:c>
      <x:c r="F168" s="2" t="str">
        <x:v>逐条结果未留存</x:v>
      </x:c>
      <x:c r="G168" s="14" t="str">
        <x:v>【苏冰预警】豆油（Y）
合约：Y2701　周期：15m
空头预警：MACD 死叉，收盘价位于 EMA21 下方
Bar：2026-09-09T14:00:00+00:00
请打开图表复核；仅供研究观察，不是交易指令。</x:v>
      </x:c>
      <x:c r="H168" s="14" t="str">
        <x:v>本次未复算；前次：公式复算数据不足；原始逐条输入快照未存档</x:v>
      </x:c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</x:row>
    <x:row r="169" ht="102" customHeight="1">
      <x:c r="A169" s="2" t="n">
        <x:v>189</x:v>
      </x:c>
      <x:c r="B169" s="10" t="n">
        <x:v>46274.927141203705</x:v>
      </x:c>
      <x:c r="C169" s="2" t="str">
        <x:v>铝</x:v>
      </x:c>
      <x:c r="D169" s="2" t="str">
        <x:v>苏冰</x:v>
      </x:c>
      <x:c r="E169" s="2" t="str">
        <x:v>15m</x:v>
      </x:c>
      <x:c r="F169" s="2" t="str">
        <x:v>逐条结果未留存</x:v>
      </x:c>
      <x:c r="G169" s="14" t="str">
        <x:v>【苏冰预警】铝（AL）
合约：AL2610　周期：15m
多头预警：MACD 金叉，收盘价位于 EMA21 上方
Bar：2026-09-09T14:15:00+00:00
请打开图表复核；仅供研究观察，不是交易指令。</x:v>
      </x:c>
      <x:c r="H169" s="14" t="str">
        <x:v>本次未复算；前次：公式复算数据不足；原始逐条输入快照未存档</x:v>
      </x:c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</x:row>
    <x:row r="170" ht="102" customHeight="1">
      <x:c r="A170" s="2" t="n">
        <x:v>190</x:v>
      </x:c>
      <x:c r="B170" s="10" t="n">
        <x:v>46274.92717592593</x:v>
      </x:c>
      <x:c r="C170" s="2" t="str">
        <x:v>豆粕</x:v>
      </x:c>
      <x:c r="D170" s="2" t="str">
        <x:v>苏冰</x:v>
      </x:c>
      <x:c r="E170" s="2" t="str">
        <x:v>15m</x:v>
      </x:c>
      <x:c r="F170" s="2" t="str">
        <x:v>逐条结果未留存</x:v>
      </x:c>
      <x:c r="G170" s="14" t="str">
        <x:v>【苏冰预警】豆粕（M）
合约：M2701　周期：15m
空头预警：MACD 死叉，收盘价位于 EMA21 下方
Bar：2026-09-09T14:15:00+00:00
请打开图表复核；仅供研究观察，不是交易指令。</x:v>
      </x:c>
      <x:c r="H170" s="14" t="str">
        <x:v>本次未复算；前次：公式复算数据不足；原始逐条输入快照未存档</x:v>
      </x:c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</x:row>
    <x:row r="171" ht="102" customHeight="1">
      <x:c r="A171" s="2" t="n">
        <x:v>191</x:v>
      </x:c>
      <x:c r="B171" s="10" t="n">
        <x:v>46274.9375462963</x:v>
      </x:c>
      <x:c r="C171" s="2" t="str">
        <x:v>甲醇</x:v>
      </x:c>
      <x:c r="D171" s="2" t="str">
        <x:v>苏冰</x:v>
      </x:c>
      <x:c r="E171" s="2" t="str">
        <x:v>15m</x:v>
      </x:c>
      <x:c r="F171" s="2" t="str">
        <x:v>逐条结果未留存</x:v>
      </x:c>
      <x:c r="G171" s="14" t="str">
        <x:v>【苏冰预警】甲醇（MA）
合约：MA2610　周期：15m
多头预警：MACD 金叉，收盘价位于 EMA21 上方
Bar：2026-09-09T14:30:00+00:00
请打开图表复核；仅供研究观察，不是交易指令。</x:v>
      </x:c>
      <x:c r="H171" s="14" t="str">
        <x:v>本次未复算；前次：公式复算数据不足；原始逐条输入快照未存档</x:v>
      </x:c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</x:row>
    <x:row r="172" ht="102" customHeight="1">
      <x:c r="A172" s="2" t="n">
        <x:v>192</x:v>
      </x:c>
      <x:c r="B172" s="10" t="n">
        <x:v>46274.93759259259</x:v>
      </x:c>
      <x:c r="C172" s="2" t="str">
        <x:v>焦煤</x:v>
      </x:c>
      <x:c r="D172" s="2" t="str">
        <x:v>火天大有</x:v>
      </x:c>
      <x:c r="E172" s="2" t="str">
        <x:v>15m</x:v>
      </x:c>
      <x:c r="F172" s="2" t="str">
        <x:v>逐条结果未留存</x:v>
      </x:c>
      <x:c r="G172" s="14" t="str">
        <x:v>火天大有：焦煤（JM）
合约：JM2701　周期：15m
观察：买入观察
Bar：2026-09-09T14:30:00+00:00
仅供研究观察，不是交易指令。</x:v>
      </x:c>
      <x:c r="H172" s="14" t="str">
        <x:v>本次未复算；前次：公式复算数据不足；原始逐条输入快照未存档</x:v>
      </x:c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</x:row>
    <x:row r="173" ht="102" customHeight="1">
      <x:c r="A173" s="2" t="n">
        <x:v>193</x:v>
      </x:c>
      <x:c r="B173" s="10" t="n">
        <x:v>46274.9687962963</x:v>
      </x:c>
      <x:c r="C173" s="2" t="str">
        <x:v>铝</x:v>
      </x:c>
      <x:c r="D173" s="2" t="str">
        <x:v>苏冰</x:v>
      </x:c>
      <x:c r="E173" s="2" t="str">
        <x:v>15m</x:v>
      </x:c>
      <x:c r="F173" s="2" t="str">
        <x:v>逐条结果未留存</x:v>
      </x:c>
      <x:c r="G173" s="14" t="str">
        <x:v>【苏冰预警】铝（AL）
合约：AL2610　周期：15m
空头预警：MACD 死叉，收盘价位于 EMA21 下方
Bar：2026-09-09T15:15:00+00:00
请打开图表复核；仅供研究观察，不是交易指令。</x:v>
      </x:c>
      <x:c r="H173" s="14" t="str">
        <x:v>本次未复算；前次：公式复算数据不足；原始逐条输入快照未存档</x:v>
      </x:c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</x:row>
    <x:row r="174" ht="102" customHeight="1">
      <x:c r="A174" s="2" t="n">
        <x:v>194</x:v>
      </x:c>
      <x:c r="B174" s="10" t="n">
        <x:v>46274.97922453703</x:v>
      </x:c>
      <x:c r="C174" s="2" t="str">
        <x:v>铝</x:v>
      </x:c>
      <x:c r="D174" s="2" t="str">
        <x:v>苏冰</x:v>
      </x:c>
      <x:c r="E174" s="2" t="str">
        <x:v>15m</x:v>
      </x:c>
      <x:c r="F174" s="2" t="str">
        <x:v>逐条结果未留存</x:v>
      </x:c>
      <x:c r="G174" s="14" t="str">
        <x:v>【苏冰预警】铝（AL）
合约：AL2610　周期：15m
多头预警：MACD 金叉，收盘价位于 EMA21 上方
Bar：2026-09-09T15:30:00+00:00
请打开图表复核；仅供研究观察，不是交易指令。</x:v>
      </x:c>
      <x:c r="H174" s="14" t="str">
        <x:v>本次未复算；前次：公式复算数据不足；原始逐条输入快照未存档</x:v>
      </x:c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</x:row>
    <x:row r="175" ht="102" customHeight="1">
      <x:c r="A175" s="2" t="n">
        <x:v>195</x:v>
      </x:c>
      <x:c r="B175" s="10" t="n">
        <x:v>46274.97922453703</x:v>
      </x:c>
      <x:c r="C175" s="2" t="str">
        <x:v>黄金</x:v>
      </x:c>
      <x:c r="D175" s="2" t="str">
        <x:v>苏冰</x:v>
      </x:c>
      <x:c r="E175" s="2" t="str">
        <x:v>15m</x:v>
      </x:c>
      <x:c r="F175" s="2" t="str">
        <x:v>逐条结果未留存</x:v>
      </x:c>
      <x:c r="G175" s="14" t="str">
        <x:v>【苏冰预警】黄金（AU）
合约：AU2610　周期：15m
空头预警：MACD 死叉，收盘价位于 EMA21 下方
Bar：2026-09-09T15:30:00+00:00
请打开图表复核；仅供研究观察，不是交易指令。</x:v>
      </x:c>
      <x:c r="H175" s="14" t="str">
        <x:v>本次未复算；前次：公式复算数据不足；原始逐条输入快照未存档</x:v>
      </x:c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</x:row>
    <x:row r="176" ht="102" customHeight="1">
      <x:c r="A176" s="2" t="n">
        <x:v>196</x:v>
      </x:c>
      <x:c r="B176" s="10" t="n">
        <x:v>46275.05212962963</x:v>
      </x:c>
      <x:c r="C176" s="2" t="str">
        <x:v>白银</x:v>
      </x:c>
      <x:c r="D176" s="2" t="str">
        <x:v>苏冰</x:v>
      </x:c>
      <x:c r="E176" s="2" t="str">
        <x:v>15m</x:v>
      </x:c>
      <x:c r="F176" s="2" t="str">
        <x:v>逐条结果未留存</x:v>
      </x:c>
      <x:c r="G176" s="14" t="str">
        <x:v>【苏冰预警】白银（AG）
合约：AG2610　周期：15m
多头预警：MACD 金叉，收盘价位于 EMA21 上方
Bar：2026-09-09T17:15:00+00:00
请打开图表复核；仅供研究观察，不是交易指令。</x:v>
      </x:c>
      <x:c r="H176" s="14" t="str">
        <x:v>本次未复算；前次：公式复算数据不足；原始逐条输入快照未存档</x:v>
      </x:c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</x:row>
    <x:row r="177" ht="102" customHeight="1">
      <x:c r="A177" s="2" t="n">
        <x:v>197</x:v>
      </x:c>
      <x:c r="B177" s="10" t="n">
        <x:v>46275.06253472222</x:v>
      </x:c>
      <x:c r="C177" s="2" t="str">
        <x:v>黄金</x:v>
      </x:c>
      <x:c r="D177" s="2" t="str">
        <x:v>苏冰</x:v>
      </x:c>
      <x:c r="E177" s="2" t="str">
        <x:v>15m</x:v>
      </x:c>
      <x:c r="F177" s="2" t="str">
        <x:v>逐条结果未留存</x:v>
      </x:c>
      <x:c r="G177" s="14" t="str">
        <x:v>【苏冰预警】黄金（AU）
合约：AU2610　周期：15m
多头预警：MACD 金叉，收盘价位于 EMA21 上方
Bar：2026-09-09T17:30:00+00:00
请打开图表复核；仅供研究观察，不是交易指令。</x:v>
      </x:c>
      <x:c r="H177" s="14" t="str">
        <x:v>本次未复算；前次：公式复算数据不足；原始逐条输入快照未存档</x:v>
      </x:c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</x:row>
    <x:row r="178" ht="102" customHeight="1">
      <x:c r="A178" s="2" t="n">
        <x:v>198</x:v>
      </x:c>
      <x:c r="B178" s="10" t="n">
        <x:v>46275.385462962964</x:v>
      </x:c>
      <x:c r="C178" s="2" t="str">
        <x:v>纯碱</x:v>
      </x:c>
      <x:c r="D178" s="2" t="str">
        <x:v>苏冰</x:v>
      </x:c>
      <x:c r="E178" s="2" t="str">
        <x:v>15m</x:v>
      </x:c>
      <x:c r="F178" s="2" t="str">
        <x:v>逐条结果未留存</x:v>
      </x:c>
      <x:c r="G178" s="14" t="str">
        <x:v>【苏冰预警】纯碱（SA）
合约：SA2701　周期：15m
多头预警：MACD 金叉，收盘价位于 EMA21 上方
Bar：2026-09-10T01:15:00+00:00
请打开图表复核；仅供研究观察，不是交易指令。</x:v>
      </x:c>
      <x:c r="H178" s="14" t="str">
        <x:v>本次未复算；前次：公式复算数据不足；原始逐条输入快照未存档</x:v>
      </x:c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</x:row>
    <x:row r="179" ht="102" customHeight="1">
      <x:c r="A179" s="2" t="n">
        <x:v>199</x:v>
      </x:c>
      <x:c r="B179" s="10" t="n">
        <x:v>46275.385462962964</x:v>
      </x:c>
      <x:c r="C179" s="2" t="str">
        <x:v>烧碱</x:v>
      </x:c>
      <x:c r="D179" s="2" t="str">
        <x:v>苏冰</x:v>
      </x:c>
      <x:c r="E179" s="2" t="str">
        <x:v>15m</x:v>
      </x:c>
      <x:c r="F179" s="2" t="str">
        <x:v>逐条结果未留存</x:v>
      </x:c>
      <x:c r="G179" s="14" t="str">
        <x:v>【苏冰预警】烧碱（SH）
合约：SH2611　周期：15m
多头预警：MACD 金叉，收盘价位于 EMA21 上方
Bar：2026-09-10T01:15:00+00:00
请打开图表复核；仅供研究观察，不是交易指令。</x:v>
      </x:c>
      <x:c r="H179" s="14" t="str">
        <x:v>本次未复算；前次：公式复算数据不足；原始逐条输入快照未存档</x:v>
      </x:c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</x:row>
    <x:row r="180" ht="102" customHeight="1">
      <x:c r="A180" s="2" t="n">
        <x:v>200</x:v>
      </x:c>
      <x:c r="B180" s="10" t="n">
        <x:v>46275.38547453703</x:v>
      </x:c>
      <x:c r="C180" s="2" t="str">
        <x:v>pta</x:v>
      </x:c>
      <x:c r="D180" s="2" t="str">
        <x:v>苏冰</x:v>
      </x:c>
      <x:c r="E180" s="2" t="str">
        <x:v>15m</x:v>
      </x:c>
      <x:c r="F180" s="2" t="str">
        <x:v>逐条结果未留存</x:v>
      </x:c>
      <x:c r="G180" s="14" t="str">
        <x:v>【苏冰预警】pta（TA）
合约：TA2701　周期：15m
多头预警：MACD 金叉，收盘价位于 EMA21 上方
Bar：2026-09-10T01:15:00+00:00
请打开图表复核；仅供研究观察，不是交易指令。</x:v>
      </x:c>
      <x:c r="H180" s="14" t="str">
        <x:v>本次未复算；前次：公式复算数据不足；原始逐条输入快照未存档</x:v>
      </x:c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</x:row>
    <x:row r="181" ht="102" customHeight="1">
      <x:c r="A181" s="2" t="n">
        <x:v>201</x:v>
      </x:c>
      <x:c r="B181" s="10" t="n">
        <x:v>46275.38547453703</x:v>
      </x:c>
      <x:c r="C181" s="2" t="str">
        <x:v>白银</x:v>
      </x:c>
      <x:c r="D181" s="2" t="str">
        <x:v>苏冰</x:v>
      </x:c>
      <x:c r="E181" s="2" t="str">
        <x:v>15m</x:v>
      </x:c>
      <x:c r="F181" s="2" t="str">
        <x:v>逐条结果未留存</x:v>
      </x:c>
      <x:c r="G181" s="14" t="str">
        <x:v>【苏冰预警】白银（AG）
合约：AG2610　周期：15m
空头预警：MACD 死叉，收盘价位于 EMA21 下方
Bar：2026-09-10T01:15:00+00:00
请打开图表复核；仅供研究观察，不是交易指令。</x:v>
      </x:c>
      <x:c r="H181" s="14" t="str">
        <x:v>本次未复算；前次：公式复算数据不足；原始逐条输入快照未存档</x:v>
      </x:c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</x:row>
    <x:row r="182" ht="102" customHeight="1">
      <x:c r="A182" s="2" t="n">
        <x:v>202</x:v>
      </x:c>
      <x:c r="B182" s="10" t="n">
        <x:v>46275.38552083333</x:v>
      </x:c>
      <x:c r="C182" s="2" t="str">
        <x:v>液化石油气</x:v>
      </x:c>
      <x:c r="D182" s="2" t="str">
        <x:v>苏冰</x:v>
      </x:c>
      <x:c r="E182" s="2" t="str">
        <x:v>15m</x:v>
      </x:c>
      <x:c r="F182" s="2" t="str">
        <x:v>逐条结果未留存</x:v>
      </x:c>
      <x:c r="G182" s="14" t="str">
        <x:v>【苏冰预警】液化石油气（PG）
合约：PG2610　周期：15m
多头预警：MACD 金叉，收盘价位于 EMA21 上方
Bar：2026-09-10T01:15:00+00:00
请打开图表复核；仅供研究观察，不是交易指令。</x:v>
      </x:c>
      <x:c r="H182" s="14" t="str">
        <x:v>本次未复算；前次：公式复算数据不足；原始逐条输入快照未存档</x:v>
      </x:c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</x:row>
    <x:row r="183" ht="102" customHeight="1">
      <x:c r="A183" s="2" t="n">
        <x:v>203</x:v>
      </x:c>
      <x:c r="B183" s="10" t="n">
        <x:v>46275.38552083333</x:v>
      </x:c>
      <x:c r="C183" s="2" t="str">
        <x:v>pvc</x:v>
      </x:c>
      <x:c r="D183" s="2" t="str">
        <x:v>苏冰</x:v>
      </x:c>
      <x:c r="E183" s="2" t="str">
        <x:v>15m</x:v>
      </x:c>
      <x:c r="F183" s="2" t="str">
        <x:v>逐条结果未留存</x:v>
      </x:c>
      <x:c r="G183" s="14" t="str">
        <x:v>【苏冰预警】pvc（V）
合约：V2701　周期：15m
多头预警：MACD 金叉，收盘价位于 EMA21 上方
Bar：2026-09-10T01:15:00+00:00
请打开图表复核；仅供研究观察，不是交易指令。</x:v>
      </x:c>
      <x:c r="H183" s="14" t="str">
        <x:v>本次未复算；前次：公式复算数据不足；原始逐条输入快照未存档</x:v>
      </x:c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</x:row>
    <x:row r="184" ht="102" customHeight="1">
      <x:c r="A184" s="2" t="n">
        <x:v>204</x:v>
      </x:c>
      <x:c r="B184" s="10" t="n">
        <x:v>46275.38553240741</x:v>
      </x:c>
      <x:c r="C184" s="2" t="str">
        <x:v>红枣</x:v>
      </x:c>
      <x:c r="D184" s="2" t="str">
        <x:v>苏冰</x:v>
      </x:c>
      <x:c r="E184" s="2" t="str">
        <x:v>15m</x:v>
      </x:c>
      <x:c r="F184" s="2" t="str">
        <x:v>逐条结果未留存</x:v>
      </x:c>
      <x:c r="G184" s="14" t="str">
        <x:v>【苏冰预警】红枣（CJ）
合约：CJ2701　周期：15m
空头预警：MACD 死叉，收盘价位于 EMA21 下方
Bar：2026-09-10T01:15:00+00:00
请打开图表复核；仅供研究观察，不是交易指令。</x:v>
      </x:c>
      <x:c r="H184" s="14" t="str">
        <x:v>本次未复算；前次：公式复算数据不足；原始逐条输入快照未存档</x:v>
      </x:c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</x:row>
    <x:row r="185" ht="102" customHeight="1">
      <x:c r="A185" s="2" t="n">
        <x:v>205</x:v>
      </x:c>
      <x:c r="B185" s="10" t="n">
        <x:v>46275.38553240741</x:v>
      </x:c>
      <x:c r="C185" s="2" t="str">
        <x:v>硅铁</x:v>
      </x:c>
      <x:c r="D185" s="2" t="str">
        <x:v>苏冰</x:v>
      </x:c>
      <x:c r="E185" s="2" t="str">
        <x:v>15m</x:v>
      </x:c>
      <x:c r="F185" s="2" t="str">
        <x:v>逐条结果未留存</x:v>
      </x:c>
      <x:c r="G185" s="14" t="str">
        <x:v>【苏冰预警】硅铁（SF）
合约：SF2611　周期：15m
空头预警：MACD 死叉，收盘价位于 EMA21 下方
Bar：2026-09-10T01:15:00+00:00
请打开图表复核；仅供研究观察，不是交易指令。</x:v>
      </x:c>
      <x:c r="H185" s="14" t="str">
        <x:v>本次未复算；前次：公式复算数据不足；原始逐条输入快照未存档</x:v>
      </x:c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</x:row>
    <x:row r="186" ht="102" customHeight="1">
      <x:c r="A186" s="2" t="n">
        <x:v>206</x:v>
      </x:c>
      <x:c r="B186" s="10" t="n">
        <x:v>46275.38554398148</x:v>
      </x:c>
      <x:c r="C186" s="2" t="str">
        <x:v>集运欧线</x:v>
      </x:c>
      <x:c r="D186" s="2" t="str">
        <x:v>苏冰</x:v>
      </x:c>
      <x:c r="E186" s="2" t="str">
        <x:v>15m</x:v>
      </x:c>
      <x:c r="F186" s="2" t="str">
        <x:v>transport_failed</x:v>
      </x:c>
      <x:c r="G186" s="14" t="str">
        <x:v>【苏冰预警】集运欧线（EC）
合约：EC2610　周期：15m
多头预警：MACD 金叉，收盘价位于 EMA21 上方
Bar：2026-09-10T01:15:00+00:00
请打开图表复核；仅供研究观察，不是交易指令。</x:v>
      </x:c>
      <x:c r="H186" s="14" t="str">
        <x:v>本次未复算；前次：公式复算数据不足；原始逐条输入快照未存档</x:v>
      </x:c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</x:row>
    <x:row r="187" ht="102" customHeight="1">
      <x:c r="A187" s="2" t="n">
        <x:v>207</x:v>
      </x:c>
      <x:c r="B187" s="10" t="n">
        <x:v>46275.395891203705</x:v>
      </x:c>
      <x:c r="C187" s="2" t="str">
        <x:v>白糖</x:v>
      </x:c>
      <x:c r="D187" s="2" t="str">
        <x:v>苏冰</x:v>
      </x:c>
      <x:c r="E187" s="2" t="str">
        <x:v>15m</x:v>
      </x:c>
      <x:c r="F187" s="2" t="str">
        <x:v>逐条结果未留存</x:v>
      </x:c>
      <x:c r="G187" s="14" t="str">
        <x:v>【苏冰预警】白糖（SR）
合约：SR2701　周期：15m
多头预警：MACD 金叉，收盘价位于 EMA21 上方
Bar：2026-09-10T01:30:00+00:00
请打开图表复核；仅供研究观察，不是交易指令。</x:v>
      </x:c>
      <x:c r="H187" s="14" t="str">
        <x:v>本次未复算；前次：公式复算数据不足；原始逐条输入快照未存档</x:v>
      </x:c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</x:row>
    <x:row r="188" ht="102" customHeight="1">
      <x:c r="A188" s="2" t="n">
        <x:v>208</x:v>
      </x:c>
      <x:c r="B188" s="10" t="n">
        <x:v>46275.39603009259</x:v>
      </x:c>
      <x:c r="C188" s="2" t="str">
        <x:v>铝</x:v>
      </x:c>
      <x:c r="D188" s="2" t="str">
        <x:v>苏冰</x:v>
      </x:c>
      <x:c r="E188" s="2" t="str">
        <x:v>15m</x:v>
      </x:c>
      <x:c r="F188" s="2" t="str">
        <x:v>逐条结果未留存</x:v>
      </x:c>
      <x:c r="G188" s="14" t="str">
        <x:v>【苏冰预警】铝（AL）
合约：AL2610　周期：15m
空头预警：MACD 死叉，收盘价位于 EMA21 下方
Bar：2026-09-10T01:30:00+00:00
请打开图表复核；仅供研究观察，不是交易指令。</x:v>
      </x:c>
      <x:c r="H188" s="14" t="str">
        <x:v>本次未复算；前次：公式复算数据不足；原始逐条输入快照未存档</x:v>
      </x:c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</x:row>
    <x:row r="189" ht="102" customHeight="1">
      <x:c r="A189" s="2" t="n">
        <x:v>209</x:v>
      </x:c>
      <x:c r="B189" s="10" t="n">
        <x:v>46275.396145833336</x:v>
      </x:c>
      <x:c r="C189" s="2" t="str">
        <x:v>锰硅</x:v>
      </x:c>
      <x:c r="D189" s="2" t="str">
        <x:v>苏冰</x:v>
      </x:c>
      <x:c r="E189" s="2" t="str">
        <x:v>15m</x:v>
      </x:c>
      <x:c r="F189" s="2" t="str">
        <x:v>逐条结果未留存</x:v>
      </x:c>
      <x:c r="G189" s="14" t="str">
        <x:v>【苏冰预警】锰硅（SM）
合约：SM2611　周期：15m
空头预警：MACD 死叉，收盘价位于 EMA21 下方
Bar：2026-09-10T01:30:00+00:00
请打开图表复核；仅供研究观察，不是交易指令。</x:v>
      </x:c>
      <x:c r="H189" s="14" t="str">
        <x:v>本次未复算；前次：公式复算数据不足；原始逐条输入快照未存档</x:v>
      </x:c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</x:row>
    <x:row r="190" ht="102" customHeight="1">
      <x:c r="A190" s="2" t="n">
        <x:v>210</x:v>
      </x:c>
      <x:c r="B190" s="10" t="n">
        <x:v>46275.396157407406</x:v>
      </x:c>
      <x:c r="C190" s="2" t="str">
        <x:v>尿素</x:v>
      </x:c>
      <x:c r="D190" s="2" t="str">
        <x:v>苏冰</x:v>
      </x:c>
      <x:c r="E190" s="2" t="str">
        <x:v>15m</x:v>
      </x:c>
      <x:c r="F190" s="2" t="str">
        <x:v>逐条结果未留存</x:v>
      </x:c>
      <x:c r="G190" s="14" t="str">
        <x:v>【苏冰预警】尿素（UR）
合约：UR2701　周期：15m
多头预警：MACD 金叉，收盘价位于 EMA21 上方
Bar：2026-09-10T01:30:00+00:00
请打开图表复核；仅供研究观察，不是交易指令。</x:v>
      </x:c>
      <x:c r="H190" s="14" t="str">
        <x:v>本次未复算；前次：公式复算数据不足；原始逐条输入快照未存档</x:v>
      </x:c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</x:row>
    <x:row r="191" ht="102" customHeight="1">
      <x:c r="A191" s="2" t="n">
        <x:v>211</x:v>
      </x:c>
      <x:c r="B191" s="10" t="n">
        <x:v>46275.406319444446</x:v>
      </x:c>
      <x:c r="C191" s="2" t="str">
        <x:v>原油</x:v>
      </x:c>
      <x:c r="D191" s="2" t="str">
        <x:v>苏冰</x:v>
      </x:c>
      <x:c r="E191" s="2" t="str">
        <x:v>15m</x:v>
      </x:c>
      <x:c r="F191" s="2" t="str">
        <x:v>逐条结果未留存</x:v>
      </x:c>
      <x:c r="G191" s="14" t="str">
        <x:v>【苏冰预警】原油（SC）
合约：SC2610　周期：15m
多头预警：MACD 金叉，收盘价位于 EMA21 上方
Bar：2026-09-10T01:45:00+00:00
请打开图表复核；仅供研究观察，不是交易指令。</x:v>
      </x:c>
      <x:c r="H191" s="14" t="str">
        <x:v>本次未复算；前次：公式复算数据不足；原始逐条输入快照未存档</x:v>
      </x:c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</x:row>
    <x:row r="192" ht="102" customHeight="1">
      <x:c r="A192" s="2" t="n">
        <x:v>212</x:v>
      </x:c>
      <x:c r="B192" s="10" t="n">
        <x:v>46275.40635416667</x:v>
      </x:c>
      <x:c r="C192" s="2" t="str">
        <x:v>多晶硅</x:v>
      </x:c>
      <x:c r="D192" s="2" t="str">
        <x:v>苏冰</x:v>
      </x:c>
      <x:c r="E192" s="2" t="str">
        <x:v>15m</x:v>
      </x:c>
      <x:c r="F192" s="2" t="str">
        <x:v>逐条结果未留存</x:v>
      </x:c>
      <x:c r="G192" s="14" t="str">
        <x:v>【苏冰预警】多晶硅（PS）
合约：PS2611　周期：15m
空头预警：MACD 死叉，收盘价位于 EMA21 下方
Bar：2026-09-10T01:45:00+00:00
请打开图表复核；仅供研究观察，不是交易指令。</x:v>
      </x:c>
      <x:c r="H192" s="14" t="str">
        <x:v>本次未复算；前次：公式复算数据不足；原始逐条输入快照未存档</x:v>
      </x:c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</x:row>
    <x:row r="193" ht="102" customHeight="1">
      <x:c r="A193" s="2" t="n">
        <x:v>213</x:v>
      </x:c>
      <x:c r="B193" s="10" t="n">
        <x:v>46275.41672453703</x:v>
      </x:c>
      <x:c r="C193" s="2" t="str">
        <x:v>玻璃</x:v>
      </x:c>
      <x:c r="D193" s="2" t="str">
        <x:v>苏冰</x:v>
      </x:c>
      <x:c r="E193" s="2" t="str">
        <x:v>15m</x:v>
      </x:c>
      <x:c r="F193" s="2" t="str">
        <x:v>逐条结果未留存</x:v>
      </x:c>
      <x:c r="G193" s="14" t="str">
        <x:v>【苏冰预警】玻璃（FG）
合约：FG2701　周期：15m
多头预警：MACD 金叉，收盘价位于 EMA21 上方
Bar：2026-09-10T02:00:00+00:00
请打开图表复核；仅供研究观察，不是交易指令。</x:v>
      </x:c>
      <x:c r="H193" s="14" t="str">
        <x:v>本次未复算；前次：公式复算数据不足；原始逐条输入快照未存档</x:v>
      </x:c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</x:row>
    <x:row r="194" ht="102" customHeight="1">
      <x:c r="A194" s="2" t="n">
        <x:v>214</x:v>
      </x:c>
      <x:c r="B194" s="10" t="n">
        <x:v>46275.41685185185</x:v>
      </x:c>
      <x:c r="C194" s="2" t="str">
        <x:v>不锈钢</x:v>
      </x:c>
      <x:c r="D194" s="2" t="str">
        <x:v>苏冰</x:v>
      </x:c>
      <x:c r="E194" s="2" t="str">
        <x:v>15m</x:v>
      </x:c>
      <x:c r="F194" s="2" t="str">
        <x:v>逐条结果未留存</x:v>
      </x:c>
      <x:c r="G194" s="14" t="str">
        <x:v>【苏冰预警】不锈钢（SS）
合约：SS2610　周期：15m
空头预警：MACD 死叉，收盘价位于 EMA21 下方
Bar：2026-09-10T02:00:00+00:00
请打开图表复核；仅供研究观察，不是交易指令。</x:v>
      </x:c>
      <x:c r="H194" s="14" t="str">
        <x:v>本次未复算；前次：公式复算数据不足；原始逐条输入快照未存档</x:v>
      </x:c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</x:row>
    <x:row r="195" ht="102" customHeight="1">
      <x:c r="A195" s="2" t="n">
        <x:v>215</x:v>
      </x:c>
      <x:c r="B195" s="10" t="n">
        <x:v>46275.427141203705</x:v>
      </x:c>
      <x:c r="C195" s="2" t="str">
        <x:v>沥青</x:v>
      </x:c>
      <x:c r="D195" s="2" t="str">
        <x:v>苏冰</x:v>
      </x:c>
      <x:c r="E195" s="2" t="str">
        <x:v>15m</x:v>
      </x:c>
      <x:c r="F195" s="2" t="str">
        <x:v>逐条结果未留存</x:v>
      </x:c>
      <x:c r="G195" s="14" t="str">
        <x:v>【苏冰预警】沥青（BU）
合约：BU2610　周期：15m
空头预警：MACD 死叉，收盘价位于 EMA21 下方
Bar：2026-09-10T02:15:00+00:00
请打开图表复核；仅供研究观察，不是交易指令。</x:v>
      </x:c>
      <x:c r="H195" s="14" t="str">
        <x:v>本次未复算；前次：公式复算数据不足；原始逐条输入快照未存档</x:v>
      </x:c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</x:row>
    <x:row r="196" ht="102" customHeight="1">
      <x:c r="A196" s="2" t="n">
        <x:v>216</x:v>
      </x:c>
      <x:c r="B196" s="10" t="n">
        <x:v>46275.427152777775</x:v>
      </x:c>
      <x:c r="C196" s="2" t="str">
        <x:v>不锈钢</x:v>
      </x:c>
      <x:c r="D196" s="2" t="str">
        <x:v>苏冰</x:v>
      </x:c>
      <x:c r="E196" s="2" t="str">
        <x:v>15m</x:v>
      </x:c>
      <x:c r="F196" s="2" t="str">
        <x:v>provider_accepted</x:v>
      </x:c>
      <x:c r="G196" s="14" t="str">
        <x:v>【苏冰预警】不锈钢（SS）
合约：SS2610　周期：15m
多头预警：MACD 金叉，收盘价位于 EMA21 上方
Bar：2026-09-10T02:15:00+00:00
请打开图表复核；仅供研究观察，不是交易指令。</x:v>
      </x:c>
      <x:c r="H196" s="14" t="str">
        <x:v>本次未复算；前次：公式复算数据不足；原始逐条输入快照未存档</x:v>
      </x:c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</x:row>
    <x:row r="20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</x:row>
    <x:row r="202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</x:row>
    <x:row r="203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</x:row>
    <x:row r="204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</x:row>
    <x:row r="205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</x:row>
    <x:row r="206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</x:row>
    <x:row r="207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</x:row>
    <x:row r="208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</x:row>
    <x:row r="20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</x:row>
    <x:row r="210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</x:row>
    <x:row r="21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</x:row>
    <x:row r="212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</x:row>
    <x:row r="213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</x:row>
    <x:row r="214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</x:row>
    <x:row r="215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</x:row>
    <x:row r="216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</x:row>
    <x:row r="217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</x:row>
    <x:row r="218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</x:row>
    <x:row r="21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</x:row>
    <x:row r="220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</x:row>
    <x:row r="22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</x:row>
    <x:row r="222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</x:row>
    <x:row r="223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</x:row>
    <x:row r="224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</x:row>
    <x:row r="225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</x:row>
    <x:row r="226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</x:row>
    <x:row r="227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</x:row>
    <x:row r="228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</x:row>
    <x:row r="229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</x:row>
    <x:row r="230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</x:row>
    <x:row r="23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</x:row>
    <x:row r="232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</x:row>
    <x:row r="233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</x:row>
    <x:row r="234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</x:row>
    <x:row r="235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</x:row>
    <x:row r="236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</x:row>
    <x:row r="237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</x:row>
    <x:row r="238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</x:row>
    <x:row r="239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  <x:c r="AA239" s="2"/>
      <x:c r="AB239" s="2"/>
      <x:c r="AC239" s="2"/>
      <x:c r="AD239" s="2"/>
      <x:c r="AE239" s="2"/>
      <x:c r="AF239" s="2"/>
      <x:c r="AG239" s="2"/>
      <x:c r="AH239" s="2"/>
      <x:c r="AI239" s="2"/>
      <x:c r="AJ239" s="2"/>
      <x:c r="AK239" s="2"/>
      <x:c r="AL239" s="2"/>
      <x:c r="AM239" s="2"/>
      <x:c r="AN239" s="2"/>
      <x:c r="AO239" s="2"/>
      <x:c r="AP239" s="2"/>
    </x:row>
    <x:row r="240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  <x:c r="AA240" s="2"/>
      <x:c r="AB240" s="2"/>
      <x:c r="AC240" s="2"/>
      <x:c r="AD240" s="2"/>
      <x:c r="AE240" s="2"/>
      <x:c r="AF240" s="2"/>
      <x:c r="AG240" s="2"/>
      <x:c r="AH240" s="2"/>
      <x:c r="AI240" s="2"/>
      <x:c r="AJ240" s="2"/>
      <x:c r="AK240" s="2"/>
      <x:c r="AL240" s="2"/>
      <x:c r="AM240" s="2"/>
      <x:c r="AN240" s="2"/>
      <x:c r="AO240" s="2"/>
      <x:c r="AP240" s="2"/>
    </x:row>
    <x:row r="24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  <x:c r="AA241" s="2"/>
      <x:c r="AB241" s="2"/>
      <x:c r="AC241" s="2"/>
      <x:c r="AD241" s="2"/>
      <x:c r="AE241" s="2"/>
      <x:c r="AF241" s="2"/>
      <x:c r="AG241" s="2"/>
      <x:c r="AH241" s="2"/>
      <x:c r="AI241" s="2"/>
      <x:c r="AJ241" s="2"/>
      <x:c r="AK241" s="2"/>
      <x:c r="AL241" s="2"/>
      <x:c r="AM241" s="2"/>
      <x:c r="AN241" s="2"/>
      <x:c r="AO241" s="2"/>
      <x:c r="AP241" s="2"/>
    </x:row>
    <x:row r="242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  <x:c r="AA242" s="2"/>
      <x:c r="AB242" s="2"/>
      <x:c r="AC242" s="2"/>
      <x:c r="AD242" s="2"/>
      <x:c r="AE242" s="2"/>
      <x:c r="AF242" s="2"/>
      <x:c r="AG242" s="2"/>
      <x:c r="AH242" s="2"/>
      <x:c r="AI242" s="2"/>
      <x:c r="AJ242" s="2"/>
      <x:c r="AK242" s="2"/>
      <x:c r="AL242" s="2"/>
      <x:c r="AM242" s="2"/>
      <x:c r="AN242" s="2"/>
      <x:c r="AO242" s="2"/>
      <x:c r="AP242" s="2"/>
    </x:row>
    <x:row r="243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  <x:c r="AA243" s="2"/>
      <x:c r="AB243" s="2"/>
      <x:c r="AC243" s="2"/>
      <x:c r="AD243" s="2"/>
      <x:c r="AE243" s="2"/>
      <x:c r="AF243" s="2"/>
      <x:c r="AG243" s="2"/>
      <x:c r="AH243" s="2"/>
      <x:c r="AI243" s="2"/>
      <x:c r="AJ243" s="2"/>
      <x:c r="AK243" s="2"/>
      <x:c r="AL243" s="2"/>
      <x:c r="AM243" s="2"/>
      <x:c r="AN243" s="2"/>
      <x:c r="AO243" s="2"/>
      <x:c r="AP243" s="2"/>
    </x:row>
    <x:row r="244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  <x:c r="AA244" s="2"/>
      <x:c r="AB244" s="2"/>
      <x:c r="AC244" s="2"/>
      <x:c r="AD244" s="2"/>
      <x:c r="AE244" s="2"/>
      <x:c r="AF244" s="2"/>
      <x:c r="AG244" s="2"/>
      <x:c r="AH244" s="2"/>
      <x:c r="AI244" s="2"/>
      <x:c r="AJ244" s="2"/>
      <x:c r="AK244" s="2"/>
      <x:c r="AL244" s="2"/>
      <x:c r="AM244" s="2"/>
      <x:c r="AN244" s="2"/>
      <x:c r="AO244" s="2"/>
      <x:c r="AP244" s="2"/>
    </x:row>
    <x:row r="245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  <x:c r="AA245" s="2"/>
      <x:c r="AB245" s="2"/>
      <x:c r="AC245" s="2"/>
      <x:c r="AD245" s="2"/>
      <x:c r="AE245" s="2"/>
      <x:c r="AF245" s="2"/>
      <x:c r="AG245" s="2"/>
      <x:c r="AH245" s="2"/>
      <x:c r="AI245" s="2"/>
      <x:c r="AJ245" s="2"/>
      <x:c r="AK245" s="2"/>
      <x:c r="AL245" s="2"/>
      <x:c r="AM245" s="2"/>
      <x:c r="AN245" s="2"/>
      <x:c r="AO245" s="2"/>
      <x:c r="AP245" s="2"/>
    </x:row>
    <x:row r="246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  <x:c r="AA246" s="2"/>
      <x:c r="AB246" s="2"/>
      <x:c r="AC246" s="2"/>
      <x:c r="AD246" s="2"/>
      <x:c r="AE246" s="2"/>
      <x:c r="AF246" s="2"/>
      <x:c r="AG246" s="2"/>
      <x:c r="AH246" s="2"/>
      <x:c r="AI246" s="2"/>
      <x:c r="AJ246" s="2"/>
      <x:c r="AK246" s="2"/>
      <x:c r="AL246" s="2"/>
      <x:c r="AM246" s="2"/>
      <x:c r="AN246" s="2"/>
      <x:c r="AO246" s="2"/>
      <x:c r="AP246" s="2"/>
    </x:row>
    <x:row r="247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  <x:c r="AA247" s="2"/>
      <x:c r="AB247" s="2"/>
      <x:c r="AC247" s="2"/>
      <x:c r="AD247" s="2"/>
      <x:c r="AE247" s="2"/>
      <x:c r="AF247" s="2"/>
      <x:c r="AG247" s="2"/>
      <x:c r="AH247" s="2"/>
      <x:c r="AI247" s="2"/>
      <x:c r="AJ247" s="2"/>
      <x:c r="AK247" s="2"/>
      <x:c r="AL247" s="2"/>
      <x:c r="AM247" s="2"/>
      <x:c r="AN247" s="2"/>
      <x:c r="AO247" s="2"/>
      <x:c r="AP247" s="2"/>
    </x:row>
    <x:row r="248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  <x:c r="AA248" s="2"/>
      <x:c r="AB248" s="2"/>
      <x:c r="AC248" s="2"/>
      <x:c r="AD248" s="2"/>
      <x:c r="AE248" s="2"/>
      <x:c r="AF248" s="2"/>
      <x:c r="AG248" s="2"/>
      <x:c r="AH248" s="2"/>
      <x:c r="AI248" s="2"/>
      <x:c r="AJ248" s="2"/>
      <x:c r="AK248" s="2"/>
      <x:c r="AL248" s="2"/>
      <x:c r="AM248" s="2"/>
      <x:c r="AN248" s="2"/>
      <x:c r="AO248" s="2"/>
      <x:c r="AP248" s="2"/>
    </x:row>
    <x:row r="249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  <x:c r="AA249" s="2"/>
      <x:c r="AB249" s="2"/>
      <x:c r="AC249" s="2"/>
      <x:c r="AD249" s="2"/>
      <x:c r="AE249" s="2"/>
      <x:c r="AF249" s="2"/>
      <x:c r="AG249" s="2"/>
      <x:c r="AH249" s="2"/>
      <x:c r="AI249" s="2"/>
      <x:c r="AJ249" s="2"/>
      <x:c r="AK249" s="2"/>
      <x:c r="AL249" s="2"/>
      <x:c r="AM249" s="2"/>
      <x:c r="AN249" s="2"/>
      <x:c r="AO249" s="2"/>
      <x:c r="AP249" s="2"/>
    </x:row>
    <x:row r="250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  <x:c r="AA250" s="2"/>
      <x:c r="AB250" s="2"/>
      <x:c r="AC250" s="2"/>
      <x:c r="AD250" s="2"/>
      <x:c r="AE250" s="2"/>
      <x:c r="AF250" s="2"/>
      <x:c r="AG250" s="2"/>
      <x:c r="AH250" s="2"/>
      <x:c r="AI250" s="2"/>
      <x:c r="AJ250" s="2"/>
      <x:c r="AK250" s="2"/>
      <x:c r="AL250" s="2"/>
      <x:c r="AM250" s="2"/>
      <x:c r="AN250" s="2"/>
      <x:c r="AO250" s="2"/>
      <x:c r="AP250" s="2"/>
    </x:row>
  </x:sheetData>
  <x:pageMargins left="0.7" right="0.7" top="0.75" bottom="0.75" header="0.3" footer="0.3"/>
  <x:tableParts count="1">
    <x:tablePart xmlns:r="http://schemas.openxmlformats.org/officeDocument/2006/relationships" r:id="Re35cb67df25c40bc"/>
  </x:tableParts>
</x:worksheet>
</file>